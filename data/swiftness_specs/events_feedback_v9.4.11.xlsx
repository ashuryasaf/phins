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https://swiftnessint-my.sharepoint.com/personal/avraham_barturgeman_swiftnessint_co_il/Documents/Desktop/חוזרים 30.6.24/קבצים סופיים/אקסל רשות/"/>
    </mc:Choice>
  </mc:AlternateContent>
  <xr:revisionPtr revIDLastSave="0" documentId="8_{50C93B66-7451-4C9B-930E-F946BB722475}" xr6:coauthVersionLast="47" xr6:coauthVersionMax="47" xr10:uidLastSave="{00000000-0000-0000-0000-000000000000}"/>
  <bookViews>
    <workbookView xWindow="-120" yWindow="-120" windowWidth="29040" windowHeight="15720" xr2:uid="{00000000-000D-0000-FFFF-FFFF00000000}"/>
  </bookViews>
  <sheets>
    <sheet name="ממשק היזון חוזר ראשוני" sheetId="2" r:id="rId1"/>
    <sheet name="היררכיה - היזון חוזר ראשוני" sheetId="3" r:id="rId2"/>
  </sheets>
  <definedNames>
    <definedName name="_xlnm._FilterDatabase" localSheetId="0" hidden="1">'ממשק היזון חוזר ראשוני'!#REF!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5" i="2" l="1"/>
  <c r="A59" i="2" s="1"/>
  <c r="A60" i="2" s="1"/>
  <c r="A61" i="2" s="1"/>
  <c r="A62" i="2" s="1"/>
  <c r="A64" i="2" s="1"/>
  <c r="A68" i="2" s="1"/>
  <c r="A71" i="2" s="1"/>
  <c r="A72" i="2" s="1"/>
  <c r="A73" i="2" s="1"/>
  <c r="A74" i="2" s="1"/>
  <c r="A75" i="2" s="1"/>
  <c r="A76" i="2" s="1"/>
  <c r="A77" i="2" s="1"/>
  <c r="A78" i="2" s="1"/>
  <c r="A20" i="2"/>
  <c r="A23" i="2" s="1"/>
  <c r="A24" i="2" s="1"/>
  <c r="A25" i="2" s="1"/>
  <c r="A26" i="2" s="1"/>
  <c r="A31" i="2" s="1"/>
  <c r="A32" i="2" s="1"/>
  <c r="A33" i="2" s="1"/>
  <c r="A34" i="2" s="1"/>
  <c r="A35" i="2" s="1"/>
  <c r="A36" i="2" s="1"/>
  <c r="A37" i="2" s="1"/>
  <c r="A38" i="2" s="1"/>
  <c r="A39" i="2" s="1"/>
  <c r="A40" i="2" s="1"/>
  <c r="A41" i="2" s="1"/>
  <c r="A43" i="2" s="1"/>
  <c r="A44" i="2" s="1"/>
  <c r="A45" i="2" s="1"/>
  <c r="A46" i="2" s="1"/>
  <c r="A47" i="2" s="1"/>
  <c r="A48" i="2" s="1"/>
  <c r="A49" i="2" s="1"/>
  <c r="A50" i="2" s="1"/>
  <c r="B20" i="2" l="1"/>
  <c r="B23" i="2" s="1"/>
  <c r="B24" i="2" s="1"/>
  <c r="B25" i="2" s="1"/>
  <c r="B26" i="2" s="1"/>
  <c r="B31" i="2" s="1"/>
  <c r="B32" i="2" s="1"/>
  <c r="B33" i="2" s="1"/>
  <c r="B34" i="2" s="1"/>
  <c r="B35" i="2" s="1"/>
  <c r="B36" i="2" s="1"/>
  <c r="B37" i="2" s="1"/>
  <c r="B38" i="2" s="1"/>
  <c r="B39" i="2" s="1"/>
  <c r="B40" i="2" s="1"/>
  <c r="B41" i="2" s="1"/>
  <c r="B43" i="2" s="1"/>
  <c r="B44" i="2" s="1"/>
  <c r="B45" i="2" s="1"/>
  <c r="B46" i="2" s="1"/>
  <c r="B47" i="2" s="1"/>
  <c r="B48" i="2" s="1"/>
  <c r="B49" i="2" s="1"/>
  <c r="B50" i="2" s="1"/>
  <c r="B55" i="2" l="1"/>
  <c r="B59" i="2" s="1"/>
  <c r="B60" i="2" s="1"/>
  <c r="B61" i="2" s="1"/>
  <c r="B62" i="2" s="1"/>
  <c r="B64" i="2" s="1"/>
  <c r="B68" i="2" s="1"/>
</calcChain>
</file>

<file path=xl/sharedStrings.xml><?xml version="1.0" encoding="utf-8"?>
<sst xmlns="http://schemas.openxmlformats.org/spreadsheetml/2006/main" count="440" uniqueCount="286">
  <si>
    <t>יחיד</t>
  </si>
  <si>
    <t>/Mimshak</t>
  </si>
  <si>
    <t>/GufHamimshak</t>
  </si>
  <si>
    <t>מרובה</t>
  </si>
  <si>
    <t>/SugMashov</t>
  </si>
  <si>
    <t>/MashovBeramatReshuma</t>
  </si>
  <si>
    <t>/PerutShgihaBeramatReshuma</t>
  </si>
  <si>
    <t xml:space="preserve">אותיות מספרים וסימנים מיוחדים. 
 </t>
  </si>
  <si>
    <t>string</t>
  </si>
  <si>
    <t>PERUT-SHGIHA-BERAMAT-RESHUMA</t>
  </si>
  <si>
    <t>משוב ברמת רשומה (מרובה)
MashovBeramatReshuma</t>
  </si>
  <si>
    <t xml:space="preserve">מטרת הבלוק: פירוט השגיאה עליה דווח בשדה "קוד שגיאה ברמת רשומה". 
הערה: חלה חובה להעביר מידע על פירוט השגיאה בשדה זה אם נבחר בשדה "קוד שגיאה ברמת רשומה" קוד 102 או קוד 105. 
בלוק חובה מותנית
</t>
  </si>
  <si>
    <t>PerutShgihaBeramatReshuma</t>
  </si>
  <si>
    <t>/MaaneMiYazran</t>
  </si>
  <si>
    <t>int</t>
  </si>
  <si>
    <t>MAANE-BERAMAT-RESHUMA</t>
  </si>
  <si>
    <t>מענה מיצרן (מרובה)
MaaneMiYazran</t>
  </si>
  <si>
    <t>מענה ברמת רשומה</t>
  </si>
  <si>
    <r>
      <rPr>
        <b/>
        <sz val="12"/>
        <rFont val="Tahoma"/>
        <family val="2"/>
      </rPr>
      <t xml:space="preserve">מטרת הבלוק: </t>
    </r>
    <r>
      <rPr>
        <sz val="12"/>
        <rFont val="Tahoma"/>
        <family val="2"/>
      </rPr>
      <t xml:space="preserve">שימוש בבלוק "מענה מיצרן" מיועד למקרה בו גוף מוסדי מחזיר מענה ברמת רשומה בשלב ב'. 
</t>
    </r>
    <r>
      <rPr>
        <b/>
        <sz val="12"/>
        <rFont val="Tahoma"/>
        <family val="2"/>
      </rPr>
      <t>בלוק חובה מותנית.</t>
    </r>
  </si>
  <si>
    <t>MaaneMiYazran</t>
  </si>
  <si>
    <t>KOD-SHGIHA-BERAMAT-RESHUMA</t>
  </si>
  <si>
    <t>קוד שגיאה ברמת רשומה</t>
  </si>
  <si>
    <t>STATUS-RESHUMA</t>
  </si>
  <si>
    <t>MISPAR-MEZAHE-RESHUMA</t>
  </si>
  <si>
    <t>מספר מזהה רשומה</t>
  </si>
  <si>
    <t>MISPAR-MISLAKA</t>
  </si>
  <si>
    <t>סוג משוב (יחיד)
SugMashov</t>
  </si>
  <si>
    <t>מספר מסלקה</t>
  </si>
  <si>
    <t>MashovBeramatReshuma</t>
  </si>
  <si>
    <t>/MashovBeramatKovetz</t>
  </si>
  <si>
    <t>/PerutShgihaBeramatKovetz</t>
  </si>
  <si>
    <t>אותיות מספרים וסימנים מיוחדים. 
הסבר: שדה זה מאפשר להוסיף הסבר לשגיאה אשר הוצגה בשדה "קוד שגיאה ברמת קובץ".
הערה: חלה חובה להעביר התייחסות למהות השגיאה שפורטה בשדה "קוד שגיאה ברמת הקובץ" למעט במקרה בו נבחר קוד 5 = "אישור על קבלת הודעת שגיאה ברמת הקובץ".</t>
  </si>
  <si>
    <t>PERUT-SHGIHA-BERAMAT-KOVETZ</t>
  </si>
  <si>
    <t>משוב ברמת קובץ (יחיד)
MashovBeramatKovetz</t>
  </si>
  <si>
    <t>פרוט שגיאה ברמת קובץ</t>
  </si>
  <si>
    <t>בלוק חובה מותנית</t>
  </si>
  <si>
    <t>PerutShgihaBeramatKovetz</t>
  </si>
  <si>
    <t>KOD-SHGIHA</t>
  </si>
  <si>
    <t xml:space="preserve">קוד שגיאה ברמת הקובץ </t>
  </si>
  <si>
    <t>MashovBeramatKovetz</t>
  </si>
  <si>
    <t>SUG-MASHOV</t>
  </si>
  <si>
    <t>ערכים: 
1 = שלב א': משוב טכני
2 = שלב ב': משוב ברמת תוכן הבקשה
3 = התראה על אי קבלת מענה
4 = התראה על איכות מידע</t>
  </si>
  <si>
    <t>סוג משוב</t>
  </si>
  <si>
    <r>
      <t xml:space="preserve">ערכים מוגדרים בלבד. 
</t>
    </r>
    <r>
      <rPr>
        <b/>
        <sz val="12"/>
        <rFont val="Tahoma"/>
        <family val="2"/>
      </rPr>
      <t>הסבר:</t>
    </r>
    <r>
      <rPr>
        <sz val="12"/>
        <rFont val="Tahoma"/>
        <family val="2"/>
      </rPr>
      <t xml:space="preserve"> ממשק היזון חוזר ראשוני מגדיר שתי רמות של משוב: האחת, משוב ברמת הקובץ. השנייה, משוב ברמת רשומה. 
שימוש במשוב ברמת קובץ ייעשה מקום שבו נמצא ליקוי טכני בקובץ אשר אינו מאפשר את עיבוד המידע למערכות היצרן. 
בכל שאר המקרים יועבר היזון חוזר ברמת רשומה. 
</t>
    </r>
  </si>
  <si>
    <t>RAMAT-MASHOV</t>
  </si>
  <si>
    <t>ערכים:
1 = ברמת קובץ 
2 = ברמת רשומה</t>
  </si>
  <si>
    <t>רמת משוב</t>
  </si>
  <si>
    <t xml:space="preserve">אותיות מספרים וסימנים מיוחדים.
הסבר: לאחר שהוגדר סוג הממשק לגביו מועבר ההיזון החוזר מטרת שדה זה להגדיר מספר זיהוי של קובץ הנתונים אליו מתייחס ההיזון החוזר. 
</t>
  </si>
  <si>
    <t>MISPAR-HAKOVETZ</t>
  </si>
  <si>
    <t>בהתאם למספר הקובץ שהוגדר על ידי שולח הבקשה/הדיווח</t>
  </si>
  <si>
    <t>מספר הקובץ לגביו מועבר היזון חוזר</t>
  </si>
  <si>
    <t xml:space="preserve">אותיות מספרים וסימנים מיוחדים.
הסבר: מטרת שדה זה להגדיר את שם הקובץ אליו מתייחס ההיזון החוזר כפי שהוגדר על ידי הגורם ששלח את הקובץ ליצרן. 
</t>
  </si>
  <si>
    <t xml:space="preserve">אותיות מספרים וסימנים מיוחדים.
הסבר: לאחר שהוגדר סוג הממשק לגביו מועבר ההיזון החוזר מטרת שדה זה להגדיר את שם הקובץ אליו מתייחס ההיזון החוזר. 
</t>
  </si>
  <si>
    <t>SHEM-HAKOVETZ</t>
  </si>
  <si>
    <t>כהגדרתו בנספח ו' לחוזר מבנה אחיד</t>
  </si>
  <si>
    <t>שם הקובץ לגביו מועבר היזון חוזר</t>
  </si>
  <si>
    <t xml:space="preserve">ערכים מוגדרים בלבד. 
הסבר: מטרת שדה זה להגדיר את סוג הממשק לגביו מועבר ההיזון החוזר. לדוגמה, קיבל יצרן ממעסיק "ממשק מעסיקים - דיווח שוטף" יעביר בשדה זה את הערך 12. 
</t>
  </si>
  <si>
    <t>SUG-MIMSHAK-LEGABAV-MUAVAR-HIZUN-CHOZER</t>
  </si>
  <si>
    <t xml:space="preserve">יישות גורם פונה למסלקה (מרובה)   
YeshutGoremPoneLemislaka
</t>
  </si>
  <si>
    <t>סוג ממשק לגביו מועבר היזון חוזר</t>
  </si>
  <si>
    <r>
      <rPr>
        <b/>
        <sz val="12"/>
        <rFont val="Tahoma"/>
        <family val="2"/>
      </rPr>
      <t>מטרת הבלוק:</t>
    </r>
    <r>
      <rPr>
        <sz val="12"/>
        <rFont val="Tahoma"/>
        <family val="2"/>
      </rPr>
      <t xml:space="preserve"> 
א. הגדרת סוג הממשק לגביו מועבר היזון חוזר, 
ב. הגדרת רמת המשוב, קרי, האם נמצאה תקלה ברמת הקובץ כולו או לחילופין מועבר משוב ברמת מספר הזיהוי / מסלקה של הדיווח.
</t>
    </r>
    <r>
      <rPr>
        <b/>
        <sz val="12"/>
        <rFont val="Tahoma"/>
        <family val="2"/>
      </rPr>
      <t>בלוק חובה</t>
    </r>
  </si>
  <si>
    <r>
      <rPr>
        <b/>
        <sz val="12"/>
        <rFont val="Tahoma"/>
        <family val="2"/>
      </rPr>
      <t>מטרת הבלוק:</t>
    </r>
    <r>
      <rPr>
        <sz val="12"/>
        <rFont val="Tahoma"/>
        <family val="2"/>
      </rPr>
      <t xml:space="preserve"> 
א. הגדרת סוג הממשק לגביו מועבר היזון חוזר, 
ב. הגדרת רמת המשוב, קרי, האם נמצאה תקלה ברמת הקובץ כולו או לחילופין מועבר משוב ברמת רשומה/בקשה לביצוע פעולה. 
ג. הגדרת השלב לגביו ניתן המשוב, קרי, האם מדובר במשוב טכני (שלב א') או משוב ברמת תוכן המידע (שלב ב')
</t>
    </r>
    <r>
      <rPr>
        <b/>
        <sz val="12"/>
        <rFont val="Tahoma"/>
        <family val="2"/>
      </rPr>
      <t>בלוק חובה</t>
    </r>
  </si>
  <si>
    <t>SugMashov</t>
  </si>
  <si>
    <t xml:space="preserve">אותיות מספרים וסימנים מיוחדים. 
הערה: חלה חובה להעביר נתון בשדה זה על ידי מתווך (מסלקה, מנהל הסדר), ובלבד שהמידע נמצא ברשותו.
</t>
  </si>
  <si>
    <t>MISPAR-CELLULARI</t>
  </si>
  <si>
    <t>טלפון סלולארי - איש קשר גורם פונה למסלקה</t>
  </si>
  <si>
    <t>E-MAIL-PONE-LEMISLAKA</t>
  </si>
  <si>
    <t>כתובת דוא"ל - איש קשר גורם פונה למסלקה</t>
  </si>
  <si>
    <t>MISPAR-TELEPHONE-KAVI-PONE-LEMISLAKA</t>
  </si>
  <si>
    <t>מספר טלפון קווי - איש קשר גורם פונה למסלקה</t>
  </si>
  <si>
    <t>SHEM-MISHPACHA-PONE-LEMISLAKA</t>
  </si>
  <si>
    <t>שם משפחה - איש קשר גורם פונה למסלקה</t>
  </si>
  <si>
    <t>SHEM-PRATI-PONE-LEMISLAKA</t>
  </si>
  <si>
    <t>שם פרטי - איש קשר גורם פונה למסלקה</t>
  </si>
  <si>
    <t>אותיות מספרים וסימנים מיוחדים. 
הערה: חלה חובה להעביר נתון בשדה זה על ידי מתווך (מסלקה, מנהל הסדר), ובלבד שהמידע נמצא ברשותו.</t>
  </si>
  <si>
    <t>MISPAR-MEZAHE-METAFEL</t>
  </si>
  <si>
    <t>מספר מזהה מתפעל</t>
  </si>
  <si>
    <t xml:space="preserve">ערכים מוגדרים בלבד. 
הערה: חלה חובה להעביר נתון בשדה זה ככל שמידע מועבר על ידי מתווך (מסלקה, מנהל הסדר). 
</t>
  </si>
  <si>
    <t>SHEM-GOREM-PONE</t>
  </si>
  <si>
    <t>שם גורם פונה</t>
  </si>
  <si>
    <t xml:space="preserve">אותיות מספרים וסימנים מיוחדים
הערה: חלה חובה להעביר נתון בשדה זה ככל שמידע מועבר על ידי מתווך (מסלקה, מנהל הסדר). </t>
  </si>
  <si>
    <t>MISPAR-MEZAHE-PONE</t>
  </si>
  <si>
    <t>מספר מזהה פונה</t>
  </si>
  <si>
    <t>SUG-KOD-MEZAHE-PONE</t>
  </si>
  <si>
    <t>סוג קוד מזהה פונה</t>
  </si>
  <si>
    <t xml:space="preserve">ערכים מוגדרים בלבד. </t>
  </si>
  <si>
    <t>SUG-PONE</t>
  </si>
  <si>
    <t>גוף הממשק (יחיד)
GufHamimshak</t>
  </si>
  <si>
    <t>סוג פונה</t>
  </si>
  <si>
    <r>
      <rPr>
        <b/>
        <sz val="12"/>
        <rFont val="Tahoma"/>
        <family val="2"/>
      </rPr>
      <t xml:space="preserve">מטרת בלוק: </t>
    </r>
    <r>
      <rPr>
        <sz val="12"/>
        <rFont val="Tahoma"/>
        <family val="2"/>
      </rPr>
      <t xml:space="preserve">בלוק זה מיועד לשימוש גורם מתווך (מסלקה, מנהל הסדר). 
על מנת לשמור על ההיררכיה חלה חובה להעביר בלוק זה אך אין להעביר את השדות שבתוך הבלוק. </t>
    </r>
  </si>
  <si>
    <t>YeshutGoremPoneLemislaka</t>
  </si>
  <si>
    <t>GufHamimshak</t>
  </si>
  <si>
    <t>/KoteretKovetz</t>
  </si>
  <si>
    <t>/NetuneiGoremNimaan</t>
  </si>
  <si>
    <t xml:space="preserve">אותיות מספרים וסימנים מיוחדים.
</t>
  </si>
  <si>
    <t xml:space="preserve">אותיות מספרים וסימנים מיוחדים
</t>
  </si>
  <si>
    <t>MISPAR-ZIHUI-ETZEL-YATZRAN-NIMAAN</t>
  </si>
  <si>
    <t>מספר מזהה אצל יצרן</t>
  </si>
  <si>
    <t>MISPAR-ZIHUI-NIMAAN</t>
  </si>
  <si>
    <t>מספר זיהוי גורם נמען</t>
  </si>
  <si>
    <t>SUG-MEZAHE-NIMAAN</t>
  </si>
  <si>
    <t>סוג מזהה גורם נמען</t>
  </si>
  <si>
    <t>KOD-NIMAAN</t>
  </si>
  <si>
    <t>נתוני גורם נמען (יחיד)
NetuneiGoremNimaan</t>
  </si>
  <si>
    <t>כותרת הקובץ (יחיד)
KoteretKovetz</t>
  </si>
  <si>
    <t>קוד גורם נמען</t>
  </si>
  <si>
    <r>
      <t xml:space="preserve">מטרת הבלוק: </t>
    </r>
    <r>
      <rPr>
        <sz val="12"/>
        <rFont val="Tahoma"/>
        <family val="2"/>
      </rPr>
      <t xml:space="preserve">הגדרת נתוני הגורם אליו נשלח הקובץ. 
הבהרה: ככל שבקשה מועברת ליצרן באמצעות גורם מתווך (מסלקה, מנהל הסדר) יש להעביר בבלוק זה את נתוני הגורם המתווך. 
</t>
    </r>
    <r>
      <rPr>
        <b/>
        <sz val="12"/>
        <rFont val="Tahoma"/>
        <family val="2"/>
      </rPr>
      <t>בלוק חובה</t>
    </r>
  </si>
  <si>
    <t>NetuneiGoremNimaan</t>
  </si>
  <si>
    <t>/NetuneiGoremSholech</t>
  </si>
  <si>
    <t>MISPAR-CELLULARI-ISH-KESHER-SHOLECH</t>
  </si>
  <si>
    <t>טלפון סלולארי - איש קשר גורם שולח</t>
  </si>
  <si>
    <t>E-MAIL-ISH-KESHER-SHOLECH</t>
  </si>
  <si>
    <t>כתובת דוא"ל - איש קשר גורם שולח</t>
  </si>
  <si>
    <t xml:space="preserve">אותיות מספרים וסימנים מיוחדים. 
</t>
  </si>
  <si>
    <t>MISPAR-TELEPHONE-KAVI-ISH-KESHER-SHOLECH</t>
  </si>
  <si>
    <t>מספר טלפון קווי - איש קשר גורם שולח</t>
  </si>
  <si>
    <t>SHEM-MISHPACHA-ISH-KESHER-SHOLECH</t>
  </si>
  <si>
    <t>שם משפחה - איש קשר גורם שולח</t>
  </si>
  <si>
    <t>SHEM-PRATI-ISH-KESHER-SHOLECH</t>
  </si>
  <si>
    <t>שם פרטי - איש קשר גורם שולח</t>
  </si>
  <si>
    <t>SHEM-GOREM-SHOLECH</t>
  </si>
  <si>
    <t>שם גורם שולח</t>
  </si>
  <si>
    <t>MISPAR-ZIHUI-SHOLECH</t>
  </si>
  <si>
    <t>מספר זיהוי גורם שולח</t>
  </si>
  <si>
    <t>SUG-MEZAHE-SHOLECH</t>
  </si>
  <si>
    <t>סוג מזהה גורם שולח</t>
  </si>
  <si>
    <t>KOD-SHOLECH</t>
  </si>
  <si>
    <t>נתוני גורם שולח (יחיד)
NetuneiGoremSholech</t>
  </si>
  <si>
    <t>קוד גורם שולח</t>
  </si>
  <si>
    <r>
      <t xml:space="preserve">מטרת הבלוק: </t>
    </r>
    <r>
      <rPr>
        <sz val="12"/>
        <rFont val="Tahoma"/>
        <family val="2"/>
      </rPr>
      <t xml:space="preserve">הגדרת נתוני הגורם השולח את הקובץ והגדרת נתוני איש הקשר שלו. 
</t>
    </r>
    <r>
      <rPr>
        <b/>
        <sz val="12"/>
        <rFont val="Tahoma"/>
        <family val="2"/>
      </rPr>
      <t>בלוק חובה</t>
    </r>
  </si>
  <si>
    <t>NetuneiGoremSholech</t>
  </si>
  <si>
    <t xml:space="preserve">מספרים בלבד. 
מטרת השדה: הגדרת מספר סידורי של קובץ, ומתן אפשרות לגורם השולח מספר קבצים למספרם באופן רציף כך שהגורם הנמען יוכל לוודא כי כל הקבצים שנשלחו התקבלו. שדה זה מיועד לצורך הסכמים פרטניים בין גורם שולח לנמען.  </t>
  </si>
  <si>
    <t>MISPAR-SIDURI</t>
  </si>
  <si>
    <t>מספר סידורי</t>
  </si>
  <si>
    <t>אותיות מספרים וסימנים מיוחדים.
הבהרה: יש לוודא כי מספר הקובץ הוא מספר ייחודי, ואין להעביר קבצים עם מספרי קובץ זהים. 
לדוגמה: מספר קובץ המיוצר ב-2 למרץ, 2011, בשעה שתיים בצהריים ו33 שניות על ידי יצרן שקידודו הוא 123456789, ומספר הנומרטור הוא: 0001 יהיה: 2011030214003300000001234567890001.</t>
  </si>
  <si>
    <t xml:space="preserve"> נומרטור המוגדר על ידי הגורם השולח את הקובץ. הנומרטור יורכב משלושת המרכיבים הבאים:
א. הנתון בשדה "תאריך ושעת יצירת הקובץ" (שדה מס' 3);
ב. הנתון בשדה מספר מזהה של הגורם השולח את הקובץ (שדה "מספר זיהוי גורם שולח"). 
ג. נומרטור בן 4 ספרות אשר יבטיח חד ערכיות של שדה זה. 
</t>
  </si>
  <si>
    <t>מספר הקובץ</t>
  </si>
  <si>
    <t>ערכים מוגדרים בלבד.</t>
  </si>
  <si>
    <t>KOD-SVIVAT-AVODA</t>
  </si>
  <si>
    <t>1 = TEST
2 = PRODUCTION</t>
  </si>
  <si>
    <t>סוג הנתונים המועברים בקובץ</t>
  </si>
  <si>
    <t>תאריך חוקי. YYYYMMDD
שעה HHMMSS
דוגמה:YYYYMMDDHHMMSS</t>
  </si>
  <si>
    <t>TAARICH-BITZUA</t>
  </si>
  <si>
    <t>תאריך ושעת יצירת הקובץ</t>
  </si>
  <si>
    <t>MISPAR-GIRSAT-XML</t>
  </si>
  <si>
    <t>גירסת ה-XML, כפי שמופיע ב XSD</t>
  </si>
  <si>
    <t xml:space="preserve">מספר גרסא ראשי </t>
  </si>
  <si>
    <t xml:space="preserve">ערכים מוגדרים בלבד.
הערה: בשדה זה ניתן להעביר את הערך "20" בלבד. </t>
  </si>
  <si>
    <t>SUG-MIMSHAK</t>
  </si>
  <si>
    <t>ערכים: 
20 = ממשק היזון חוזר ראשוני</t>
  </si>
  <si>
    <t xml:space="preserve">ממשק (יחיד)
Mimshak
</t>
  </si>
  <si>
    <t>סוג הממשק</t>
  </si>
  <si>
    <t>מטרת הבלוק: הגדרת סוג הממשק והגדרת פרטים מזהים של הקובץ.
בלוק חובה</t>
  </si>
  <si>
    <t>KoteretKovetz</t>
  </si>
  <si>
    <t>Mimshak</t>
  </si>
  <si>
    <t>גודל</t>
  </si>
  <si>
    <t>סוג</t>
  </si>
  <si>
    <t>שם שדה ב XML</t>
  </si>
  <si>
    <t>דחיפות יישום</t>
  </si>
  <si>
    <t xml:space="preserve"> הבהרות נוספות לגבי מהות השדה </t>
  </si>
  <si>
    <t>תת נושא
(היררכיה משנית)</t>
  </si>
  <si>
    <t>נושא
(היררכיה ראשית)</t>
  </si>
  <si>
    <t>שם השדה</t>
  </si>
  <si>
    <t>מרובה/ יחיד</t>
  </si>
  <si>
    <t>XML element</t>
  </si>
  <si>
    <t>פירוט שגיאה ברמת רשומה (מרובה)</t>
  </si>
  <si>
    <t>מענה מיצרן (מרובה)</t>
  </si>
  <si>
    <t>משוב ברמת רשומה (מרובה)</t>
  </si>
  <si>
    <t>פרוט שגיאה ברמת קובץ (מרובה)</t>
  </si>
  <si>
    <t>משוב ברמת הקובץ (יחיד)</t>
  </si>
  <si>
    <t>סוג משוב (יחיד)</t>
  </si>
  <si>
    <t xml:space="preserve">יישות גורם פונה למתווך (מרובה)   </t>
  </si>
  <si>
    <t>גוף הממשק (יחיד)</t>
  </si>
  <si>
    <t>נתוני גורם נמען (יחיד)</t>
  </si>
  <si>
    <t>נתוני גורם שולח (יחיד)</t>
  </si>
  <si>
    <t>כותרת קובץ (יחיד)</t>
  </si>
  <si>
    <t>ממשק היזון חוזר מנהלי (יחיד)</t>
  </si>
  <si>
    <t xml:space="preserve">השדה אינו רלוונטי לממשק מעסיקים ודמי סליקה </t>
  </si>
  <si>
    <t>השדה אינו רלוונטי לממשק מעסיקים ודמי סליקה</t>
  </si>
  <si>
    <t>מספר שדה חדש</t>
  </si>
  <si>
    <t>סוג דיווח</t>
  </si>
  <si>
    <t>SUG-DIVUACH</t>
  </si>
  <si>
    <t>כמות מספרי רשומה בקובץ - כוללת</t>
  </si>
  <si>
    <t>חדש</t>
  </si>
  <si>
    <t>מספר מזהה פנימי אצל יצרן</t>
  </si>
  <si>
    <t>מספר סוכן פנימי בגוף מוסדי</t>
  </si>
  <si>
    <t xml:space="preserve">מספר מזהה פנימי אצל יצרן </t>
  </si>
  <si>
    <t xml:space="preserve">אותיות מספרים וסימנים מיוחדים. </t>
  </si>
  <si>
    <t>סטטוס רשומה</t>
  </si>
  <si>
    <t xml:space="preserve">110
</t>
  </si>
  <si>
    <t>כמות רשומות תקינות  בקובץ</t>
  </si>
  <si>
    <t>KAMUT-RESHUMOT-TKINOT</t>
  </si>
  <si>
    <t>KAMUT-RESHUMOT-KOLEL</t>
  </si>
  <si>
    <t xml:space="preserve">ערכים מוגדרים בלבד. 
יובהר כי לממשק דמי סליקה רלוונטי אך ורק משוב א' (קוד 1) ואין לעשות שימוש במשוב ב' (קוד 2). קודים 3 ו-4 לשימוש מסלקה. </t>
  </si>
  <si>
    <t>לא רלוונטי</t>
  </si>
  <si>
    <t>אותיות מספרים וסימנים מיוחדים
הסבר: שדה רלוונטי במקרים בהם הממשק מועבר על ידי בעל רישיון לגוף מוסדי שלו יש הסכם עמו. במקרים אלו יש לציין בשדה את מספר הסוכן הפנימי</t>
  </si>
  <si>
    <t>ערכים:
1 = ח.פ
2 = ח.צ
3 = ת.ז 
4 = דרכון
5 = עוסק מורשה
7 = עמותה
8 = אגודה שיתופית
9 = חברה ממשלתית
10 = איגוד
11 = שותפות
12 = מספר בעל רישיון
13 = יישות ללא רשם
14 = מספר תיק ניכויים</t>
  </si>
  <si>
    <t>ערכים:
1 = נקלט תקין
2 = לא נקלט
3 = תזכורת
4 = התראה ראשונה
5 = התראה שנייה
6 = התראה שלישית
7 = התראה על איכות מידע</t>
  </si>
  <si>
    <t xml:space="preserve">ערכים מוגדרים בלבד. 
הסבר: מטרת שדה זה להגדיר את סוג הממשק לגביו מועבר ההיזון החוזר. לדוגמה, קיבל יצרן מבעל רישיון "ממשק אירועים - בקשה לקבלת מידע/ייפוי כח" יעביר בשדה זה את הערך 6. דוגמה נוספת, קיבל בעל רישיון ממסלקה את "ממשק אחזקות" יעביר בשדה את הערך 1. 
</t>
  </si>
  <si>
    <t xml:space="preserve">אותיות מספרים וסימנים מיוחדים. 
מבנה:
  xxxxxxxx-xxxx-xxxx-xxxx-xxxxxxxxxxxx: יש לשמור על המיקום של תוים מפרידים (-).
תוים חוקיים  0-9, A-F
הערות: 
1. במענה לבקשה שהועברה ליצרן מגורם מתווך (מסלקה, מנהל הסדר), חלה חובה על יצרן להעביר נתון בשדה זה. במקרה זה אין להעביר נתון בשדה "מספר מזהה רשומה". 
2. יש לשאוב את המידע לשדה זה מתוך שדה "מספר מסלקה" ב"ממשק אירועים". 
</t>
  </si>
  <si>
    <t>פירוט שגיאה ברמת רשומה</t>
  </si>
  <si>
    <t xml:space="preserve">אותיות מספרים וסימנים מיוחדים.
הסבר: מטרת שדה זה להגדיר מספר זיהוי של קובץ הנתונים אליו מתייחס ההיזון החוזר כפי שהוגדר בדיווח שהועבר ליצרן בשדה "מספר הקובץ" בממשק דמי סליקה. 
</t>
  </si>
  <si>
    <t>ערכים:
1 = יצרן
2 = מסלקה
3 = מפיץ
4 = חוסך
5 = מעסיק
6 = לשכת שירות
7 = גורם מתפעל</t>
  </si>
  <si>
    <t>ערכים מוגדרים בלבד. 
הערה: ערך 7 איננו רלוונטי לממשק מעסיקים</t>
  </si>
  <si>
    <t>מטרת הבלוק: העברת משוב אודות שגיאה שנמצאה ברמת קובץ הדיווח של ממשק דמי סליקה או ממשק מעסיקים
הערה: אין להעביר נתונים בבלוק זה אם נמצא כי הקובץ תקין. במקרה זה יש להעביר אך ורק משוב ברמת רשומה (קרי, ברמת מספר זיהוי/מספר מסלקה). 
בלוק חובה מותנית</t>
  </si>
  <si>
    <r>
      <t xml:space="preserve">מטרת הבלוק: העברת משוב אודות שגיאה שנמצאה ברמת הקובץ או העברת אישור על תקינות מלאה של הקובץ  (כלומר, אם נבחר בשדה "רמת משוב" ערך 1="ברמת קובץ"). 
</t>
    </r>
    <r>
      <rPr>
        <b/>
        <sz val="12"/>
        <rFont val="Tahoma"/>
        <family val="2"/>
      </rPr>
      <t>בלוק חובה מותנית</t>
    </r>
  </si>
  <si>
    <r>
      <t xml:space="preserve">מטרת הבלוק:
עבור ממשק מעסיקים: מתן משוב לגבי מספר הזיהוי (שדה מס' 43 בממשק השוטף/השלילי)/מספר המסלקה (שדה מס' 55) של ההפקדה או מספר הרשומה (שדה מס' 83 בממשק השוטף/שלילי)  לגביה ניתן מענה, לפי העניין.
עבור ממשק דמי סליקה: מתן משוב לגבי שדה "מספר זיהוי" / "מספר מסלקה" של המנה או שדה "מספר מזהה רשומה" לגביה ניתן מענה, לפי העניין.
הערה: מקום שבו נמצא כי כל הדיווח שהעביר המפיץ ברמת מספר זיהוי / מספר מסלקה תקין, יועבר אישור </t>
    </r>
    <r>
      <rPr>
        <b/>
        <u/>
        <sz val="12"/>
        <rFont val="Tahoma"/>
        <family val="2"/>
      </rPr>
      <t>ברמת מספר זיהוי / מסלקה בלבד ולא יועבר אישור ברמת הרשומה הבודדת</t>
    </r>
    <r>
      <rPr>
        <sz val="12"/>
        <rFont val="Tahoma"/>
        <family val="2"/>
      </rPr>
      <t>. ככל שנמצא כי יש ליקוי ברשומות מסוימות בתוך התנועות המקושרות למספר זיהוי / מספר מסלקה מסוים, יועבר לצד מספר הזיהוי / מסלקה דיווח לגבי הרשומות בהן קיים ליקוי בלבד. 
בלוק חובה מותנית.</t>
    </r>
  </si>
  <si>
    <r>
      <t xml:space="preserve">אותיות מספרים וסימנים מיוחדים.
</t>
    </r>
    <r>
      <rPr>
        <b/>
        <sz val="12"/>
        <rFont val="Tahoma"/>
        <family val="2"/>
      </rPr>
      <t xml:space="preserve">חלה חובה להעביר מידע בשדה זה בממשק מעסיקים.
</t>
    </r>
    <r>
      <rPr>
        <sz val="12"/>
        <rFont val="Tahoma"/>
        <family val="2"/>
      </rPr>
      <t xml:space="preserve">
מטרת השדה: הצגת מספר הזיהוי/מספר המסלקה של בלוק פרטי העברת כספים כפי שדווח בממשק מעסיקים - דיווח שוטף.  
הערה 1:  ככל שהדיווח הועבר ליצרן ממערכת סליקה פנסיונית מרכזית יש לשאוב את המידע לשדה זה מתוך שדה "מספר מסלקה" ב"ממשק מעסיקים - דיווח שוטף" (שדה מס' 55). במקרה זה יועבר מספר זיהוי בן 36 ספרות בלבד. 
הערה 2: ככל שהדיווח הועבר שלא באמצעות מערכת סליקה פנסיונית מרכזית יש לשאוב את המידע לשדה זה מתוך שדה "מספר זיהוי" ב "ממשק מעסיקים - דיווח שוטף" (שדה מס' 43). במקרה זה יועבר מספר זיהוי בן 36 ספרות. 
מטרת השדה: הצגת מספר הזיהוי/מספר המסלקה של בלוק פרטי מעסיק כפי שדווח בממשק דמי סליקה.  
הערה 1א: ככל שהדיווח הועבר ליצרן ממערכת סליקה פנסיונית מרכזית יש לשאוב את המידע לשדה זה מתוך שדה "מספר מסלקה" ב"ממשק דמי סליקה". במקרה זה יועבר מספר זיהוי בן 36 ספרות בלבד. 
הערה 2א: ככל שהדיווח הועבר שלא באמצעות מערכת סליקה פנסיונית מרכזית יש לשאוב את המידע לשדה זה מתוך שדה "מספר זיהוי" ב"ממשק דמי סליקה". במקרה זה יועבר מספר זיהוי בן 36 ספרות. </t>
    </r>
  </si>
  <si>
    <t xml:space="preserve">אותיות מספרים וסימנים מיוחדים.
הערה 1: חלה חובה על יצרן לעשות שימוש בשדה זה אך ורק במצב בו נמצא ליקוי טכני ברשומה מסוימת הנמצאת תחת מספר מסלקה / מספר הזיהוי שהוגדר בשדה הקודם.  
הערה 2: ככל שנמצא ליקוי טכני ברשומה מסוימת יש לשאוב את המידע לשדה זה מתוך שדה "מספר מזהה רשומה" ב"ממשק מעסיקים - דיווח שוטף/שלילי" - שדה מס' 83. יובהר כי השדה יהיה באורך של 36 תווים הגם שניתן להעביר בשדה זה מספר תווים גדול יותר. 
הערה 2א: ככל שנמצא ליקוי טכני ברשומה מסוימת יש לשאוב את המידע לשדה זה מתוך שדה "מספר מזהה רשומה" ב"ממשק דמי סליקה". יובהר כי השדה יהיה באורך של 36 תווים הגם שניתן להעביר בשדה זה מספר תווים גדול יותר. </t>
  </si>
  <si>
    <t xml:space="preserve">ערכים מוגדרים בלבד. 
קודים 3-6 ישמש לצורך מתן התראות במקרה שלא הועבר מענה בהתאם ללוחות הזמנים שנקבעו בהוראות החוזר. 
קוד 7 לא רלוונטי להיזון חוזר המועבר אגב ממשק מעסיקים או ממשק דמי סליקה.
</t>
  </si>
  <si>
    <t>אותיות מספרים וסימנים מיוחדים. 
הסבר: שדה זה מאפשר להוסיף הסבר לשגיאה אשר הוצגה בשדה "קוד שגיאה ברמת קובץ".
הערה: חלה חובה להעביר התייחסות למהות השגיאה שפורטה בשדה "קוד שגיאה ברמת הקובץ" למעט במקרה בו נבחר ערך 5 = "אישור על קבלת הודעת שגיאה ברמת הקובץ" או הועבר ערך 15 = "אישור קבלת קובץ תקין"</t>
  </si>
  <si>
    <t xml:space="preserve">ערכים מוגדרים בלבד. 
הערה 1: קודים 1 עד 4 משמשים להעברת דווח על שגיאה ברמה הטכנית של מבנה ה XSD, וזאת כמפורט להלן:
קוד 1 - "שם קובץ לא תקין" - משמש למצב בו השם שהוגדר לקובץ איננו תואם את ההוראות שנקבעו בנספח ו' לחוזר מבנה אחיד
קוד 2 - "קובץ לא קריא" משמש למצב בו לא ניתן לקרוא את תוכן הקובץ. 
הערה 2: קוד 5 = "אישור על קבלת הודעת שגיאה ברמת הקובץ"  משמש להעברת אישור על קבלת ממשק היזון חוזר ראשוני ובו הודעה על שגיאה ברמת הקובץ. קוד זה משמש לצורך סגירת תהליך עבודה ומתן חיווי לגורם השולח את ההודעה על כך שהודעתו התקבלה. דוגמה לשימוש בקוד זה - מסלקה פנסיונית העבירה למפיץ הודעה לפיה חלה שגיאה טכנית בקובץ הדיווח שהועבר אליה ולכן לא ניתן להעבירו ליצרן. בתגובה להודעה זו מפיץ נדרש להעביר חזרה למסלקה ממשק היזון חוזר ראשוני ולעשות שימוש בקוד 5.   
הערה 3: קוד 6 = "כמות רשומות לא מתאימה לרשומת ביקורת" - שימוש בקוד זה ייעשה כאשר ערך שדה "מספר רשומות בקובץ" אינו שווה לכמות המופעים של שדה "מספר מזהה רשומה" בקובץ". 
הערה 4: קוד 7 = אינו רלוונטי לממשק דמי סליקה.
הערה 5: קוד 8 = "כמות קבצים חודשית גדולה מהמוגדר לשולח"-  מיועד לשימוש במקרה בו הגיעה המסלקה (או כל גורם מתווך אחר) להסדר עם מפיץ על משלוח סדרה של קבצים ממוספרים והתקבל מספר קובץ עם מספר סידורי לא רציף. כלומר, שימוש בקוד זה ייעשה אך ורק מול לקוחות איתם הוגדר מראש אופן עבודה זה.
הערה 6: קוד 9 = תאריך קובץ מוקדם או שווה לתאריך קובץ קודם שנקלט במסלקה - מיועד לשימוש במקרה בו הגיעה המסלקה (או כל גורם מתווך אחר) להסדר מסויים עם מפיץ על משלוח של קבצים בדרך מסוימת. כלומר, שימוש בקוד זה ייעשה אך ורק מול לקוחות איתם הוגדר מראש אופן עבודה ספציפי.
הערה 7: קוד 12 = הסיכומים אינם תואמים את הדיווח - בכל מקרה בו אין התאמה בין הסיכומים בקובץ לתוכנו, יש להעביר קוד זה בתוספת פירוט שגיאה המתאר את אי ההתאמה. 
הערה 8: קוד 12 איננו רלוונטי לממשק מעסיקים
הערה 9 : קודים 15, 16, 17 אינם רלוונטים לממשק מעסיקים ודמי סליקה
</t>
  </si>
  <si>
    <r>
      <t xml:space="preserve">ערכים מוגדרים בלבד.
</t>
    </r>
    <r>
      <rPr>
        <b/>
        <sz val="12"/>
        <rFont val="Tahoma"/>
        <family val="2"/>
      </rPr>
      <t>חובה למלא ערך כאשר שדה "סוג משוב" =1, אחרת יש להשאיר ריק</t>
    </r>
    <r>
      <rPr>
        <sz val="12"/>
        <rFont val="Tahoma"/>
        <family val="2"/>
      </rPr>
      <t xml:space="preserve">
הערה1: ערכים 1 ו-2 בשדה זה רלוונטים רק כאשר שדה "רמת משוב = 1 (ברמת קובץ)"
הערה 2: ערך 3 בשדה זה רלוונטי רק כאשר שדה "רמת משוב = 2"</t>
    </r>
  </si>
  <si>
    <t>ערכים:
1 = שם קובץ לא תקין
2 = קובץ לא קריא
3 = מבנה XML לא חוקי
4 = היררכיה ראשית בקובץ לא תקינה
5 = אישור על קבלת הודעת שגיאה ברמת הקובץ 
6  = כמות רשומות לא מתאימה לרשומת ביקורת
7 = סה"כ הפרשה לא מתאים לרשומת סגירה
8 = כמות קבצים חודשית גדולה מהמוגדר לשולח
9 = תאריך קובץ מוקדם או שווה לתאריך קובץ קודם שנקלט במסלקה
10 = תאריך קובץ מוקדם מדי 
11 = תאריך קובץ עתידי
12 = הסיכומים אינם תואמים את הדיווח
15 = אישור קבלת קובץ תקין
16 = כמות רשומות משוב א לא מתאימה לקובץ עליו עונים
17 = קובץ ZIP לא נפתח / לא קריא</t>
  </si>
  <si>
    <t>ערכים מוגדרים בלבד. 
הערה: ערך 7 איננו רלוונטי לממשק מעסיקים</t>
  </si>
  <si>
    <t xml:space="preserve">הערה: בלוק זה לא רלוונטי לממשק דמי סליקה ולממשק מעסיקים
</t>
  </si>
  <si>
    <r>
      <t xml:space="preserve">ערכים מוגדרים בלבד. 
</t>
    </r>
    <r>
      <rPr>
        <b/>
        <sz val="12"/>
        <rFont val="Tahoma"/>
        <family val="2"/>
      </rPr>
      <t>הסבר:</t>
    </r>
    <r>
      <rPr>
        <sz val="12"/>
        <rFont val="Tahoma"/>
        <family val="2"/>
      </rPr>
      <t xml:space="preserve"> ממשק היזון חוזר מנהלי מגדיר שתי רמות של משוב: האחת, משוב ברמת הקובץ. השנייה, משוב ברמת רשומה. 
שימוש במשוב ברמת קובץ ייעשה מקום שבו נמצא ליקוי טכני בקובץ אשר אינו מאפשר את עיבוד המידע למערכות היצרן או כאשר מבקשים לאשר את הקובץ במלואו. 
בכל שאר המקרים יועבר היזון חוזר ברמת רשומה. </t>
    </r>
  </si>
  <si>
    <t>ערכים מוגדרים בלבד. 
הערות:
1. נבחר בשדה "רמת משוב" ערך 1 = "ברמת הקובץ", יועבר בשדה זה ערך 1 = "שלב א': משוב טכני".
2. נבחר בשדה "רמת משוב" ערך 2 = "ברמת רשומה", יועבר בשדה זה ערך 1 אם מדובר במשוב שלב א', קרי, משוב טכני ברמת רשומה, וערך 2 אם מדובר במשוב שלב ב', קרי, משוב ברמת תוכן הבקשה. 
 3.ערך 3 = "התראה על אי קבלת מענה" בשדה זה נועד לשימוש אם לא התקבל מענה לקובץ שנשלח בפרק הזמן שהוגדר לכך בהוראות החוזר. יצויין כי קבצי התראות יישלחו בקובץ נפרד עם שם קובץ שונה כמוגדר בהוראות החוזר. 
ערך 4 ישמש את המסלקה עבור התראות בגין בעיות איכות מידע אצל היצרנים
4.  ערך 2 אינו רלוונטי עבור ממשקי הניוד , שדה "סוג ממשק לגביו מועבר היזון חוזר" = 30, 31, 32, 32, 33, 35</t>
  </si>
  <si>
    <t xml:space="preserve">חדש </t>
  </si>
  <si>
    <t>YipuiKoach</t>
  </si>
  <si>
    <t>/YipuiKoach</t>
  </si>
  <si>
    <t xml:space="preserve">מספר חשבון או פוליסה </t>
  </si>
  <si>
    <t xml:space="preserve">קידוד אחיד </t>
  </si>
  <si>
    <t>KIDUD-MUTZA</t>
  </si>
  <si>
    <t>MISPAR-HESHBON-YIPUI-KOACH</t>
  </si>
  <si>
    <t>/YeshutGoremPoneLemislaka</t>
  </si>
  <si>
    <t xml:space="preserve">עידכון גרסה </t>
  </si>
  <si>
    <r>
      <t xml:space="preserve">ערכים מוגדרים בלבד. 
</t>
    </r>
    <r>
      <rPr>
        <b/>
        <sz val="12"/>
        <rFont val="Tahoma"/>
        <family val="2"/>
      </rPr>
      <t xml:space="preserve">הערה1: </t>
    </r>
    <r>
      <rPr>
        <sz val="12"/>
        <rFont val="Tahoma"/>
        <family val="2"/>
      </rPr>
      <t xml:space="preserve">שדה זה הוא חובה ככל שנבחר בשדה "סטאטוס רשומה" ערך 2-6.
</t>
    </r>
    <r>
      <rPr>
        <b/>
        <sz val="12"/>
        <rFont val="Tahoma"/>
        <family val="2"/>
      </rPr>
      <t>הערה 2:</t>
    </r>
    <r>
      <rPr>
        <sz val="12"/>
        <rFont val="Tahoma"/>
        <family val="2"/>
      </rPr>
      <t xml:space="preserve"> קוד 100,102,105 משמשים למתן אינדיקציה על שגיאות לוגיות שנמצאו בקובץ ברמת הרשומה.
</t>
    </r>
    <r>
      <rPr>
        <b/>
        <sz val="12"/>
        <rFont val="Tahoma"/>
        <family val="2"/>
      </rPr>
      <t>הערה 3:</t>
    </r>
    <r>
      <rPr>
        <sz val="12"/>
        <rFont val="Tahoma"/>
        <family val="2"/>
      </rPr>
      <t xml:space="preserve"> קוד 110 = "לא התקבל היזון חוזר ראשוני (שלב א')" משמש למתן התראה במקרה שלא התקבל מענה בממשק היזון חוזר ראשוני תוך 3 שעות ממועד העברת ממשק מעסיקים או ממשק דמי סליקה ליצרן. 
</t>
    </r>
    <r>
      <rPr>
        <b/>
        <sz val="12"/>
        <rFont val="Tahoma"/>
        <family val="2"/>
      </rPr>
      <t xml:space="preserve">הערה 4: </t>
    </r>
    <r>
      <rPr>
        <sz val="12"/>
        <rFont val="Tahoma"/>
        <family val="2"/>
      </rPr>
      <t xml:space="preserve">קוד 111, 117, 118, 122,123,124,125 לא רלוונטיים להיזון חוזר ראשוני על ממשק מעסיקים או ממשק דמי סליקה.  
  </t>
    </r>
  </si>
  <si>
    <t>מספר שדה ישן</t>
  </si>
  <si>
    <t>סוג מוצר</t>
  </si>
  <si>
    <t>אחד מן הערכים הבאים: 
1 = ביטוח פנסיוני (ביטוח מנהלים)
2 = קרן פנסיה
3 = קופת גמל
4 = קרן השתלמות
5 = תוכנית ביטוח</t>
  </si>
  <si>
    <t>SUG-MUTZAR</t>
  </si>
  <si>
    <t>ערכים מוגדרים בלבד</t>
  </si>
  <si>
    <t>MEHUSHAR-NIDHA</t>
  </si>
  <si>
    <t xml:space="preserve">פרוט סיבת הדחייה </t>
  </si>
  <si>
    <t>PERUT-SHGIHA</t>
  </si>
  <si>
    <t>מענה לבקשת מתן יפוי כוח לבעל רשיון 
(מרובה)</t>
  </si>
  <si>
    <t>עדכונים</t>
  </si>
  <si>
    <t xml:space="preserve">מענה לבקשת מתן יפוי כוח לבעל רישיון (מרובה)
YipuiKoach
</t>
  </si>
  <si>
    <t>ערכים:
1 = דחייה ברמת קובץ
2 = אישור על תקינות מלאה של קובץ ללא פירוט רשומות
3 = קליטה חלקית של הקובץ ופירוט הרשומות השגויות</t>
  </si>
  <si>
    <t>אושרה בקשה למידע בלבד או למידע ופעולות</t>
  </si>
  <si>
    <t xml:space="preserve">סוג בקשה לעיניין ייפוי כוח </t>
  </si>
  <si>
    <t>ערכים : 
2 = הרשאה מתמשכת לבעל רישיון לקבלת מידע והעברת בקשות לביצוע פעולות בכל המוצרים הפנסיוניים שברשות הלקוח (נספח ב1)
3 = הרשאה מתמשכת לבעל רישיון לקבלת מידע והעברת בקשות לביצוע פעולות במוצרים ספציפיים (נספח ב2)</t>
  </si>
  <si>
    <t>SUG-BAKASHAT-MEFITZ-LEEINIAN-YIPUI-KOACH</t>
  </si>
  <si>
    <t>MEIDA-O-PEULOT</t>
  </si>
  <si>
    <t>HARSHAHA-O-HACHRAGA</t>
  </si>
  <si>
    <t xml:space="preserve">ערכים : 
1.  דיווח מוצרים שאושרו במסגרת בקשת ייפוי כוח 
2.  דיווח שגיאות בבלוק החרגות 
</t>
  </si>
  <si>
    <t xml:space="preserve">אישור /החרגה נספח ב1 בייפוי כוח </t>
  </si>
  <si>
    <r>
      <rPr>
        <b/>
        <u/>
        <sz val="12"/>
        <rFont val="Tahoma"/>
        <family val="2"/>
      </rPr>
      <t>הערות רלוונטיות לממשק דמי סליקה ולממשק מעסיקים בלבד</t>
    </r>
    <r>
      <rPr>
        <b/>
        <sz val="12"/>
        <rFont val="Tahoma"/>
        <family val="2"/>
      </rPr>
      <t xml:space="preserve">
בדיקות המבוצעות על השדה 
(בדיקות בהתאם לסוג + בדיקות ייחודיות לשדה) </t>
    </r>
  </si>
  <si>
    <t>פרוט שגיאה (מרובה)
PerutShgihaBeramatReshuma</t>
  </si>
  <si>
    <r>
      <t xml:space="preserve">מטרת הבלוק:
א. הגדרת מספר המסלקה/הרשומה לגביה ניתן מענה
ב. הגדרת סטאטוס הרשומה   
ג. מתן אינדיקציה לגבי בעיה ברשומה מסויימת ברמה הטכנית או מתן התראה אגב בקשה מסוימת. 
החרגה 1: אין להעביר נתונים בבלוק זה אם נמצא כי קיימת בעיה ברמת הקובץ או שנמצא כי הקובץ תקין במלואו כלומר, נבחר ערך 1 = "ברמת קובץ" בשדה "רמת משוב"
הערה 1: יש להגדיר את סטטוס הרשומה עבור רשומות לא תקינות בלבד. אין להעביר בבלוק זה מידע על רשומות תקינות למעט במענה של מסלקה לממשק אירועים ולממשקים 30 ו - 33 בממשקי הניוד.
</t>
    </r>
    <r>
      <rPr>
        <b/>
        <sz val="12"/>
        <rFont val="Tahoma"/>
        <family val="2"/>
      </rPr>
      <t>בלוק חובה מותנית.</t>
    </r>
  </si>
  <si>
    <t>ערכים מוגדרים בלבד. 
הערה 1: ערך 5 = "אישור על קבלת הודעת שגיאה ברמת הקובץ" משמש למתן אישור על קבלת הודעה לפיה חלה שגיאה ברמת הקובץ.
לדוגמה, במענה ל"ממשק אירועים - בקשה לקבלת מידע/ייפוי כח" שהועבר ממפיץ למסלקה, העבירה המסלקה למפיץ הודעה לפיה חלה שגיאה בקובץ שהועבר אליה ולכן לא ניתן להעבירו ליצרן.
במקרה זה מפיץ נדרש לעשות שימוש בערך 5, ולאשר קבלת הודעה על הליקוי בקובץ. 
למען הסר ספק יובהר כי חלה חובת מתן היזון חוזר על הודעה לפיה קיים ליקוי בקובץ על כל אחד מהגורמים המעורבים בתהליך (מסלקה, יצרן, מפיץ).  
הערה 2: ערכים 6-12 רלוונטיים למתן מענה ראשוני רק לממשק מעסיקים. 
הערה 3: קוד 15 רלוונטי רק למשוב משוב א ברמת קובץ  (סוג משוב =1 ורמת משוב =1). הקוד יועבר רק  עבור קובץ שנקלט תקין במלואו. הקוד אינו רלוונטי במענה של המסלקה במשוב א (סוג משוב = 1) למפיץ / גוף מוסדי עבור : (א) ממשק אירועים (ב) ממשק ניוד, העברת נספחים א+ד ונספח י' בחוזר ההצטרפות ("סוג ממשק לגביו מועבר היזון חוזר"  =30)
(ג) בקשת ניוד - נספח א ממפיץ ליצרן ("סוג ממשק לגביו מועבר היזון חוזר" =33) 
הערה 4: קוד 17 - עתידי</t>
  </si>
  <si>
    <t xml:space="preserve">שדה זה מאפשר למסלקה / לגוף מוסדי להשיב במשוב א' (סוג משוב=1) ברמת הקובץ בלבד (רמת משוב =1) כאשר הקובץ תקין במלואו ללא הצורך בפרוט מלא של רשומות הקובץ. 
שדה חובה כאשר שדה "סוג משוב" = 1 וגם שדה "סוג דיווח" = 2 או 3
במענה לקובץ תקין במלואו או באופן חלקי (הערך בשדה "סוג דיווח" = 2 או 3), יש לציין בשדה זה את כמות המופעים של שדה "מספר מזהה רשומה" (כאשר המענה הוא לממשק אירועים/פיצויים) או "מספר שורה" (כאשר המענה הוא לממשק אחזקות) או "מספר מזהה שלב" ( כאשר המענה הוא לממשקי ניוד , "סוג ממשק לגביו מועבר היזון חוזר"  = 30 -35)  ,עבור הרשומות התקינות בקובץ שהתקבל. כאשר מדווחת שגיאה ברמת הקובץ יש להעביר בשדה 0.
הערה 1: השדה רלוונטי למשוב א (סוג משוב = 1) בלבד. השדה אינו רלוונטי לשאר סוגי המשובים / ההתראות. עבור שאר סוגי המשובים (סוג משוב = 2-4) יש להעביר בשדה זה את הערך 0.
הערה 2: השדה אינו רלוונטי במענה של המסלקה במשוב א (סוג משוב = 1) למפיץ / גוף מוסדי עבור : 
(א) ממשק אירועים (סוג ממשק=6)
(ב) ממשק ניוד, העברת נספחים א+ד ונספח י' בחוזר ההצטרפות ("סוג ממשק לגביו מועבר היזון חוזר"  =30)
(ג)  בקשת ניוד - נספח א ממפיץ ליצרן ("סוג ממשק לגביו מועבר היזון חוזר" =33) 
במענה לממשקים אלו תעביר המסלקה בשדה זה את הערך 0. 
</t>
  </si>
  <si>
    <t xml:space="preserve">שדה זה יציין את סך הרשומות בקובץ  
שדה חובה כאשר שדה "סוג משוב"  = 1 וגם שדה "סוג דיווח" = 3, כלומר עבור משוב א' ברמת רשומה.
כאשר הקובץ תקין בחלקו יש לדווח בשדה זה את כמות המופעים של שדה "מספר מזהה רשומה" בקובץ (כאשר המענה הוא לממשק אירועים/פיצויים) או  "מספר שורה" בקובץ (כאשר המענה הוא לממשק אחזקות)  או "מספר מזהה שלב"(כאשר המענה הוא לממשקי ניוד, "סוג ממשק לגביו מועבר היזון חוזר" = 30-35). 
בשאר המקרים נדרש לדווח 0 </t>
  </si>
  <si>
    <t xml:space="preserve">אותיות מספרים וסימנים מיוחדים.
הסבר: חלה חובה לעשות שימוש בשדה זה בעת העברת היזון חוזר מיצרן ישירות לבעל רישיון
הערות: 
יש לשאוב את המידע לשדה זה מתוך שדה "מספר מזהה רשומה" ב"ממשק אירועים" ומתוך שדה "מספר מזהה שלב" בממשקי הניוד </t>
  </si>
  <si>
    <t>ערכים מוגדרים בלבד. 
ערך 1 - ישמש את המסלקה במענה לממשקי : (א) אירועים (סוג ממשק =6) (ב) ממשק ניוד, העברת נספחים א+ד ונספח י' בחוזר ההצטרפות ("סוג ממשק לגביו מועבר היזון חוזר"  =30)
(ג) בקשת ניוד - נספח א ממפיץ ליצרן ("סוג ממשק לגביו מועבר היזון חוזר" =33). בשאר המקרים הוא אינו רלוונטי ואין לעשות בו שימוש.
ערך 3-6 ישמש לצורך מתן התראות במקרה שלא הועבר מענה בהתאם ללוחות הזמנים שנקבעו בהוראות החוזר. 
ערך 7 ישמש את המסלקה למשלוח התראות ליצרנים בגין בעיות איכות מידע</t>
  </si>
  <si>
    <r>
      <t xml:space="preserve">ערכים מוגדרים בלבד. 
</t>
    </r>
    <r>
      <rPr>
        <b/>
        <sz val="12"/>
        <rFont val="Tahoma"/>
        <family val="2"/>
      </rPr>
      <t xml:space="preserve">הערה: </t>
    </r>
    <r>
      <rPr>
        <sz val="12"/>
        <rFont val="Tahoma"/>
        <family val="2"/>
      </rPr>
      <t>שדה זה הוא חובה ככל שנבחר בשדה "סטאטוס רשומה" ערך 2-6.
קודים 100, 102, 105 משמשים למתן אינדיקציה על שגיאות לוגיות שנמצאו בקובץ ברמת הרשומה.
קודים 110 ו-111 משמשים למתן התראה על אי קבלת מענה לבקשה לקבלת מידע שהועברה באמצעות ממשק אירועים ("סוג ממשק לגביו מועבר היזון חוזר" = 6)  וממשקי ניוד ("סוג ממשק לגביו מועבר היזון חוזר"  = 30-35)
קודים 117 ו-118 הם לשימוש גורם מתווך בלבד. 
קודים 119-121 משמשים למתן התראה על אי קבלת היזון חוזר לדיווח על הפקדת תשלומים לקופת גמל במועד שנקבע בתקנות. 
קוד 125 ו 123 הינם לשימוש מסלקה בלבד.</t>
    </r>
  </si>
  <si>
    <t xml:space="preserve">ערכים מוגדרים בלבד
</t>
  </si>
  <si>
    <t xml:space="preserve">ערכים : 
1 = למידע בלבד
2 = למידע ופעולות </t>
  </si>
  <si>
    <t>פרוט שגיאה ברמת קובץ (מרובה)
PerutShgihaBeramatKovetz</t>
  </si>
  <si>
    <t xml:space="preserve">האם בקשת ייפוי הכוח / ההחרגה בגין מוצר זה התקבלה או נדחתה? </t>
  </si>
  <si>
    <t xml:space="preserve">שדה חובה ככל שבקשת ייפוי הכוח אושרה, הערך בשדה "האם בקשת ייפוי הכוח / ההחרגה בגין מוצר זה התקבלה או נדחתה?" = 1. בשאר המקרים נדרש להעביר NULL.
</t>
  </si>
  <si>
    <r>
      <t xml:space="preserve">אותיות </t>
    </r>
    <r>
      <rPr>
        <strike/>
        <sz val="12"/>
        <color rgb="FF00B050"/>
        <rFont val="David"/>
        <family val="2"/>
      </rPr>
      <t>מספרים</t>
    </r>
    <r>
      <rPr>
        <sz val="12"/>
        <rFont val="David"/>
        <family val="2"/>
      </rPr>
      <t xml:space="preserve"> וסימנים מיוחדים
</t>
    </r>
  </si>
  <si>
    <r>
      <rPr>
        <strike/>
        <sz val="12"/>
        <color rgb="FF00B050"/>
        <rFont val="Tahoma"/>
        <family val="2"/>
      </rPr>
      <t>אותיות</t>
    </r>
    <r>
      <rPr>
        <sz val="12"/>
        <rFont val="Tahoma"/>
        <family val="2"/>
      </rPr>
      <t xml:space="preserve"> </t>
    </r>
    <r>
      <rPr>
        <u/>
        <sz val="12"/>
        <color rgb="FF00B050"/>
        <rFont val="Tahoma"/>
        <family val="2"/>
      </rPr>
      <t>מספרים בלבד . 
הערה  : אין להוסיף מקף לאחר הקידומת, לדוגמא: 031234567.</t>
    </r>
  </si>
  <si>
    <r>
      <t>אותיות מספרים וסימנים מיוחדים.</t>
    </r>
    <r>
      <rPr>
        <b/>
        <sz val="12"/>
        <color rgb="FF00B050"/>
        <rFont val="Tahoma"/>
        <family val="2"/>
      </rPr>
      <t xml:space="preserve">
</t>
    </r>
    <r>
      <rPr>
        <b/>
        <u/>
        <sz val="12"/>
        <color rgb="FF00B050"/>
        <rFont val="Tahoma"/>
        <family val="2"/>
      </rPr>
      <t>הערה :</t>
    </r>
    <r>
      <rPr>
        <u/>
        <sz val="12"/>
        <color rgb="FF00B050"/>
        <rFont val="Tahoma"/>
        <family val="2"/>
      </rPr>
      <t xml:space="preserve"> בשדה זה יש לדווח כתובת מייל לפי תבנית חוקית של כתובת מייל.</t>
    </r>
  </si>
  <si>
    <r>
      <t xml:space="preserve">מספרים בלבד.
</t>
    </r>
    <r>
      <rPr>
        <b/>
        <u/>
        <sz val="12"/>
        <color rgb="FF00B050"/>
        <rFont val="Tahoma"/>
        <family val="2"/>
      </rPr>
      <t>הערה:</t>
    </r>
    <r>
      <rPr>
        <u/>
        <sz val="12"/>
        <color rgb="FF00B050"/>
        <rFont val="Tahoma"/>
        <family val="2"/>
      </rPr>
      <t xml:space="preserve"> אין להוסיף מקף לאחר הקידומת. לדוגמא: 0500000000.
</t>
    </r>
  </si>
  <si>
    <r>
      <rPr>
        <b/>
        <sz val="12"/>
        <color rgb="FF00B050"/>
        <rFont val="Tahoma"/>
        <family val="2"/>
      </rPr>
      <t>מספרים בלבד.</t>
    </r>
    <r>
      <rPr>
        <sz val="12"/>
        <rFont val="Tahoma"/>
        <family val="2"/>
      </rPr>
      <t xml:space="preserve">
הערה: חלה חובה להעביר נתון בשדה זה על ידי מתווך (מסלקה, מנהל הסדר), ובלבד שהמידע נמצא ברשותו.
</t>
    </r>
  </si>
  <si>
    <r>
      <rPr>
        <b/>
        <sz val="12"/>
        <color rgb="FF00B050"/>
        <rFont val="Tahoma"/>
        <family val="2"/>
      </rPr>
      <t>מספרים בלבד.
הערה: אין להוסיף מקף לאחר הקידומת. לדוגמא: 0500000000.</t>
    </r>
    <r>
      <rPr>
        <sz val="12"/>
        <rFont val="Tahoma"/>
        <family val="2"/>
      </rPr>
      <t xml:space="preserve">
הערה: חלה חובה להעביר נתון בשדה זה על ידי מתווך (מסלקה, מנהל הסדר), ובלבד שהמידע נמצא ברשותו.
</t>
    </r>
  </si>
  <si>
    <r>
      <t xml:space="preserve">ערכים:
1 = ממשק אחזקות
2 = ממשק טרום ייעוץ
3 = ממשק אחזקות + טרום ייעוץ
6 = ממשק אירועים </t>
    </r>
    <r>
      <rPr>
        <b/>
        <sz val="12"/>
        <color rgb="FF00B050"/>
        <rFont val="Tahoma"/>
        <family val="2"/>
      </rPr>
      <t xml:space="preserve">
</t>
    </r>
    <r>
      <rPr>
        <sz val="12"/>
        <rFont val="Tahoma"/>
        <family val="2"/>
      </rPr>
      <t>10 = ממשק מידע כללי למעסיק
12 = ממשק מעסיקים - דיווח שוטף 
13 = ממשק מעסיקים - דיווח שלילי
14 = ממשק מעסיקים - היזון חוזר מסכם
15 = ממשק מעסיקים - היזון חוזר מסכם - עדכון סטאטוס חודשי
16 = ממשק מעסיקים - היזון חוזר מסכם - שנתי 
17 = ממשק יתרות פיצויים
18 = ממשק מעסיקים - היזון חוזר מסכם - שבועי
20 = ממשק היזון חוזר ראשוני
30 = ממשק ניוד, העברת נספחים א+ד ונספח י' בחוזר ההצטרפות (ניוד כספים לא פעילים)</t>
    </r>
    <r>
      <rPr>
        <strike/>
        <sz val="12"/>
        <rFont val="Tahoma"/>
        <family val="2"/>
      </rPr>
      <t xml:space="preserve">
</t>
    </r>
    <r>
      <rPr>
        <sz val="12"/>
        <rFont val="Tahoma"/>
        <family val="2"/>
      </rPr>
      <t>31 = ממשק ניוד, נספחים ה+ו
32 = ממשק ניוד , נספח י'  (דיווח פיגורים)
33 = בקשת ניוד - נספח א ממפיץ ליצרן
35 = ממשק ניוד - נספחים ז' ו-ח
40 = ממשק דמי סליקה
41 = היזון מסכם דמי סליקה</t>
    </r>
  </si>
  <si>
    <r>
      <t>ערכים:
100 = מספר ת.ז לא תקין ברמה הטכנית
102 = לא צורף מסמך/טופס
105 = אחר
110 = לא התקבל היזון חוזר ראשוני (שלב א')
111 = לא התקבלה תשובת יצרן (שלב ב')
117 = מידע מגוף מוסדי מסויים בגין פעולה 9201 לא התקבל החודש מיצרן
118 = בקשה 9201 נסגרה באופן יזום על ידי המסלקה
119 = לא התקבל היזון חוזר מסכם
120 = לא התקבל היזון חוזר מסכם חודשי
121 = לא התקבל היזון חוזר מסכם שנתי
122 = בקשת פקודוקציה נסגרה באופן יזום על ידי מסלקה
123 =</t>
    </r>
    <r>
      <rPr>
        <sz val="12"/>
        <color rgb="FFFF0000"/>
        <rFont val="Tahoma"/>
        <family val="2"/>
      </rPr>
      <t xml:space="preserve"> </t>
    </r>
    <r>
      <rPr>
        <sz val="12"/>
        <rFont val="Tahoma"/>
        <family val="2"/>
      </rPr>
      <t xml:space="preserve">דיווח אינו תואם את סדר השלבים בתהליך הניוד
124 = מידע בגין בקשת פרודוקציה לא התקבל החודש מיצרן
125 = התקבלו תשובות סותרות ממוקדים שונים של אותו יצרן לבקשה
126 = לא התקבל היזון חוזר מסכם שבועי
</t>
    </r>
  </si>
  <si>
    <t xml:space="preserve">ערכים: 
1001 = עמית לא מוכר במערכת 
1002 = לעמית אין זכויות במערכת 
1003 = מעסיק לא קיים
1004 = מספר חשבון לא קיים
1005 = מספר חשבון לא תואם מספר ת.ז 
1006 = חשבון מבוטל
1007 = לא קיים ייפוי כח לבעל רישיון
1008 = עובד חתום על סעיף 14
1009 = טופס לא חתום
1010 = מספר קידוד אחיד שגוי
1011 = אחר
1012 = קיים ייפוי כח לסוכן אחר
1013 = לא רשומות לזכות העמית זכויות לעניין כספי פיצויים
1014 = בקשה למתן ייפוי כח (פעולה 1700) אושרה על ידי יצרן
1015 = בקשה למתן ייפוי כח (פעולה 1700) נדחתה במלואה על ידי יצרן
1016 = טיפול בבקשת 9201 הופסק באופן יזום על ידי יצרן
1017 = בקשה למתן ייפוי כוח (1700) אושרה באופן חלקי ע"י יצרן
1018 = מנתונים המצויים בידינו עולה כי העמית לגביו מבוקש המידע נפטר
1019 = עמית מקבל קצבה
1020 = הטפסים התקבלו והועברו לטיפול
1021 = לא ניתן לבצע את הטיפול בבקשה לפי הטפסים שהתקבלו
1022 = לא ניתן לעדכן פרטי הורה נתמך
1023 = לא התקבלו כל המסמכים הנדרשים 
1024 = למפיץ אין הסכם מול יצרן 
1025 = בקשת ביטול יפוי כוח נדחתה על ידי יצרן
1026 = בקשת ביטול יפוי כוח טופלה על ידי יצרן
1027 = הפרטים עודכנו </t>
  </si>
  <si>
    <r>
      <t>ה</t>
    </r>
    <r>
      <rPr>
        <b/>
        <u/>
        <sz val="12"/>
        <rFont val="Tahoma"/>
        <family val="2"/>
      </rPr>
      <t xml:space="preserve">ערות רלוונטיות ללכל הממשקים למעט מעסיקים ודמי סליקה
</t>
    </r>
    <r>
      <rPr>
        <b/>
        <sz val="12"/>
        <rFont val="Tahoma"/>
        <family val="2"/>
      </rPr>
      <t xml:space="preserve">
בדיקות המבוצעות על השדה
(בדיקות בהתאם לסוג + בדיקות ייחודיות לשדה)</t>
    </r>
  </si>
  <si>
    <r>
      <rPr>
        <b/>
        <sz val="12"/>
        <rFont val="Tahoma"/>
        <family val="2"/>
      </rPr>
      <t>מטרת הבלוק</t>
    </r>
    <r>
      <rPr>
        <sz val="12"/>
        <rFont val="Tahoma"/>
        <family val="2"/>
      </rPr>
      <t xml:space="preserve">: לפרט את מוצרים עבורם אושרה ו/או נדחתה בקשת ייפוי הכוח. 
הסבר: 
1. בלוק חובה במענה מוסדי לבקשת 1700, בקשה למתן ייפוי כוח לבעל רישיון, בקודים 1014, 1015, 1017 ו-1040. עבור שאר סוגי המענים אין להעביר בלוק זה. 
2. במענה לבקשות 1700 עם </t>
    </r>
    <r>
      <rPr>
        <u/>
        <sz val="12"/>
        <rFont val="Tahoma"/>
        <family val="2"/>
      </rPr>
      <t xml:space="preserve">נספח ב2 </t>
    </r>
    <r>
      <rPr>
        <sz val="12"/>
        <rFont val="Tahoma"/>
        <family val="2"/>
      </rPr>
      <t>(בהן בשדה "סוג בקשה לעניין ייפוי כח" בממשק ארועים, נבחר ערך 3 = הרשאה מתמשכת לבעל רישיון לקבלת מידע והעברת בקשות לביצוע פעולות במוצרים ספציפיים) יש להעביר מידע מפורט אודות כ</t>
    </r>
    <r>
      <rPr>
        <u/>
        <sz val="12"/>
        <rFont val="Tahoma"/>
        <family val="2"/>
      </rPr>
      <t xml:space="preserve">ל המוצרים בגינם אושרה ו/או נדחתה </t>
    </r>
    <r>
      <rPr>
        <sz val="12"/>
        <rFont val="Tahoma"/>
        <family val="2"/>
      </rPr>
      <t xml:space="preserve">הבקשה למתן ייפוי הכוח. 
3. במענה לבקשות 1700 עם </t>
    </r>
    <r>
      <rPr>
        <u/>
        <sz val="12"/>
        <rFont val="Tahoma"/>
        <family val="2"/>
      </rPr>
      <t>נספח ב1</t>
    </r>
    <r>
      <rPr>
        <sz val="12"/>
        <rFont val="Tahoma"/>
        <family val="2"/>
      </rPr>
      <t xml:space="preserve"> (בהן בשדה "סוג בקשה לעניין ייפוי כח" בממשק ארועים, נבחר ערך 2 = הרשאה מתמשכת לבעל רישיון לקבלת מידע והעברת בקשות לביצוע פעולות בכל המוצרים הפנסיוניים שברשות הלקוח, למעט אלו המוחרגים במפורש בבלוק "מוצר מוחרג") יש להעביר מידע מפורט </t>
    </r>
    <r>
      <rPr>
        <u/>
        <sz val="12"/>
        <rFont val="Tahoma"/>
        <family val="2"/>
      </rPr>
      <t>רק אודות המוצרים בגינם אושרה</t>
    </r>
    <r>
      <rPr>
        <sz val="12"/>
        <rFont val="Tahoma"/>
        <family val="2"/>
      </rPr>
      <t xml:space="preserve"> הבקשה למתן ייפוי הכוח, וכן מידע מפורט אודות מוצרים המצויינים </t>
    </r>
    <r>
      <rPr>
        <u/>
        <sz val="12"/>
        <rFont val="Tahoma"/>
        <family val="2"/>
      </rPr>
      <t>במפורש</t>
    </r>
    <r>
      <rPr>
        <sz val="12"/>
        <rFont val="Tahoma"/>
        <family val="2"/>
      </rPr>
      <t xml:space="preserve"> בבלוק ההחרגות. (אין להעביר מידע עבור החרגות ברמת סוג מוצר)
</t>
    </r>
    <r>
      <rPr>
        <b/>
        <sz val="12"/>
        <rFont val="Tahoma"/>
        <family val="2"/>
      </rPr>
      <t>איפיון הבלוק :</t>
    </r>
    <r>
      <rPr>
        <sz val="12"/>
        <rFont val="Tahoma"/>
        <family val="2"/>
      </rPr>
      <t xml:space="preserve"> בלוק חובה מותנית
</t>
    </r>
  </si>
  <si>
    <r>
      <t xml:space="preserve">הבהרות : 
1. שדה חובה במענה לבקשת ייפוי כוח בהן הועברה הרשאה מתמשכת לבעל רישיון לקבלת מידע והעברת בקשות לביצוע פעולות </t>
    </r>
    <r>
      <rPr>
        <b/>
        <strike/>
        <u/>
        <sz val="12"/>
        <rFont val="Tahoma"/>
        <family val="2"/>
      </rPr>
      <t>בכל המוצרים</t>
    </r>
    <r>
      <rPr>
        <strike/>
        <sz val="12"/>
        <rFont val="Tahoma"/>
        <family val="2"/>
      </rPr>
      <t xml:space="preserve"> הפנסיוניים שברשות הלקוח (נספח ב1), שדה "סוג בקשה לעיניין ייפוי כוח " = 2.
2. במענה לבקשת ייפוי כוח בהן הועברה הרשאה מתמשכת לבעל רישיון לקבלת מידע והעברת בקשות לביצוע פעולות </t>
    </r>
    <r>
      <rPr>
        <b/>
        <strike/>
        <u/>
        <sz val="12"/>
        <rFont val="Tahoma"/>
        <family val="2"/>
      </rPr>
      <t>במוצרים ספציפיים</t>
    </r>
    <r>
      <rPr>
        <strike/>
        <sz val="12"/>
        <rFont val="Tahoma"/>
        <family val="2"/>
      </rPr>
      <t xml:space="preserve"> (נספח ב2), אין להעביר מידע בשדה זה יש להעביר NULL.
3. ערך  2 ישמש לציון שגיאות במוצרים שהועברו בבלוק החרגות בממשק ארועים. במידה וההחרגה שהופיעה בבלוק  התקבלה לא נדרש לציינה בבלוק זה. 
4. ערך 1 ישמש גם לדווח מוצרים שהוגדרו בבלוק החרגות בממשק ארועים להרשאה למידע בלבד  ובלבד שההרשאה ניתנה ( שדה "אופן ההחרגה" בבלוק החרגות בממשק ארועים = 2 , בעל רישיון יקבל מידע בלבד)
</t>
    </r>
  </si>
  <si>
    <r>
      <rPr>
        <b/>
        <sz val="12"/>
        <rFont val="Tahoma"/>
        <family val="2"/>
      </rPr>
      <t>מספרים</t>
    </r>
    <r>
      <rPr>
        <sz val="12"/>
        <rFont val="Tahoma"/>
        <family val="2"/>
      </rPr>
      <t xml:space="preserve">
עבור קופ"ג וקרנות פנסיה: 
(1) ב-9 הספרות הראשונות יש לדווח את מספר הח.פ.של הגוף המוסדי.
(2) ב-14 הספרות הנוספות  יש לדווח את מספר אישור מס ההכנסה של הקופה.
(3) ב-7 הספרות האחרונות - ניתן לדווח את מספר אישור מס ההכנסה של מסלול ההשקעה בקרן הפנסיה או קופת הגמל, מתוקנן ל-7 ספרות. 
דוגמה לקידוד אחיד של קרן פנסיה: מספר ח.פ של חברה מנהלת של קרן פנסיה: 111111111, מספר אישור מס הכנסה של הקופה: 22222222222222, מספר מסלול השקעה: 55555. 
אופן הצגת השדה יהיה: 111111111222222222222220055555. 
לעניין חברת ביטוח וככל שמועברת בקשה להרשאה במוצר ביטוח, יועבר באמצעות הקידוד האחיד אך ורק מספר הח.פ של חברת הביטוח (9 ספרות ראשונות). יתר הספרות של הקידוד האחיד יוצגו באמצעות אפסים (21 הספרות הנוספות). 
דוגמה לקידוד אחיד של מוצר בחברת ביטוח: מספר ח.פ של חברת ביטוח: 111111111.  
אופן הצגת השדה יהיה: 111111111000000000000000000000. . 
</t>
    </r>
  </si>
  <si>
    <t xml:space="preserve">ערכים : 
1 = בקשת ייפוי הכוח התקבלה
2 = בקשת ייפוי הכוח נדחתה
3 = ההחרגה התקבלה 
4 = התגלתה שגיאה בהחרגה
</t>
  </si>
  <si>
    <t xml:space="preserve">אותיות מספרים וסימנים מיוחדים
שדה חובה ככל שבקשת ייפוי הכוח נדחתה (הערך בשדה "האם בקשת ייפוי הכוח / ההחרגה בגין מוצר זה התקבלה או נדחתה?" = 2 או 4).  </t>
  </si>
  <si>
    <t>נוספו ערכים חדשים.
שוכתבו הערות .</t>
  </si>
  <si>
    <t>שונו התניות לשדה</t>
  </si>
  <si>
    <t>נוספה הערה</t>
  </si>
  <si>
    <t>שונתה עדיפות ל 0</t>
  </si>
  <si>
    <r>
      <t xml:space="preserve">מטרת הבלוק: מתן אפשרות לפירוט השגיאה עליה דווח בשדה "קוד שגיאה ברמת רשומה" או בשדה "מענה ברמת רשומה". 
הערה: חלה חובה להעביר מידע בשדה זה אם בשדה "קוד שגיאה ברמת רשומה" או בשדה "מענה ברמת רשומה" נבחר הערך: 
102 = לא צורף מסמך/טופס
105 = אחר 
1011 = אחר 
1015 = בקשה למתן ייפוי כח (פעולה 1700) נדחתה על ידי יצרן - יש לפרט את הסיבה בגינה נדחה ייפוי הכוח במלואו
1016 = טיפול בבקשת 9201 הופסקה באופן יזום על ידי גוף מוסדי
1021 = לא ניתן לבצע את הטיפול בבקשה לפי הטפסים שהתקבלו
1022 = לא ניתן לעדכן פרטי הורה נתמך
1023 = לא התקבלו כל המסמכים הנדרשים
1025 = בקשת ביטול יפוי כוח נדחתה
1028 = לא ניתן לבצע את הבקשה, הכיסוי הביטוחי נרכש ממבטח חיצוני (לפי תקנות הפיקוח על שרותים פיננסיים (קופת גמל) (כיסויים ביטוחיים בקופת גמל), התשע"ג-2013)) - במקרה זה יש לציין בשדה זה את הח"פ של קופת הגמל </t>
    </r>
    <r>
      <rPr>
        <b/>
        <sz val="12"/>
        <rFont val="Tahoma"/>
        <family val="2"/>
      </rPr>
      <t xml:space="preserve">
</t>
    </r>
    <r>
      <rPr>
        <sz val="12"/>
        <rFont val="Tahoma"/>
        <family val="2"/>
      </rPr>
      <t>1029 = הבקשה נדחתה עקב אי התאמה בין הממשק לטופס המצורף
1030 = טיפול בבקשת פרודוקציה מתמשכת (2100/1, 2200/1, 2300/1, 2400/1) הופסקה באופן יזום על ידי גוף מוסדי
1032 = לא ניתן לספק דוח פרודוקציה עבור המפיץ הפונה
1033 = בקשת מפיץ לביטול דוח פרודוקציה לא אושרה
1106 =  פרטי המעסיקים שדווחו בבלוק "פרטי מעסיק" בממשק ארועים אינם תואמים להצהרה שצורפה לבקשה
1108 = בקשה לביטול ארוע מתמשך נדחתה
בלוק חובה מותנית.</t>
    </r>
  </si>
  <si>
    <r>
      <t xml:space="preserve">אותיות </t>
    </r>
    <r>
      <rPr>
        <strike/>
        <sz val="12"/>
        <color rgb="FF00B050"/>
        <rFont val="Tahoma"/>
        <family val="2"/>
      </rPr>
      <t xml:space="preserve">מספרים </t>
    </r>
    <r>
      <rPr>
        <sz val="12"/>
        <rFont val="Tahoma"/>
        <family val="2"/>
      </rPr>
      <t xml:space="preserve">וסימנים מיוחדים. 
הערה: חלה חובה להעביר נתון בשדה זה על ידי מתווך (מסלקה, מנהל הסדר), ובלבד שהמידע נמצא ברשותו.
</t>
    </r>
  </si>
  <si>
    <r>
      <t xml:space="preserve">1028 = לא ניתן לבצע את הבקשה , הכיסוי הביטוחי נרכש ממבטח חיצוני (לפי תקנות הפיקוח על שרותים פיננסיים (קופת גמל) (כיסויים ביטוחיים בקופת גמל ), תשע"ג - 2013))
1029 = הבקשה נדחתה עקב אי התאמה בין הממשק לטופס המצורף
1030 = טיפול בבקשת פרודוקציה מתמשכת (2100/1, 2200/1, 2300/1, 2400/1) הופסקה באופן יזום על ידי  יצרן
1031 = בקשת מפיץ  לביטול דוח פרודוקציה  אושרה (2500)
1032 = לא ניתן לספק דוח פרודוקציה עבור המפיץ הפונה
1033 = בקשת מפיץ  לביטול דוח פרודוקציה לא אושרה
1040 = מענה לבקשת ייפוי כוח - כל חשבונות העמית  המנוהלים אצל יצרן מוחרגים בבלוק החרגות, ההחרגות מאושרות
1101 = לעמית אין קרן בסטטוס "עמית לא מפקיד" 
1102 = קיים מוצר בסטטוס "עמית לא מפקיד" בקרן מקיפה בלבד
1103 = קיים מוצר בסטטוס "עמית לא מפקיד" בקרן כללית בלבד 
1104 = קיים מוצר בסטטוס "עמית לא מפקיד" בקרן מקיפה ובקרן כללית
1105 = לא קיים נספח ד' / נספח ד' שהועבר אינו חתום 
1106 =  פרטי המעסיקים שדווחו בבלוק "פרטי מעסיק" בממשק ארועים אינם תואמים להצהרה שצורפה לבקשה
1107 = בקשה לביטול ארוע מתמשך אושרה
1108 = בקשה לביטול ארוע מתמשך נדחתה </t>
    </r>
    <r>
      <rPr>
        <sz val="10"/>
        <color rgb="FFFF0000"/>
        <rFont val="Tahoma"/>
        <family val="2"/>
      </rPr>
      <t xml:space="preserve">
</t>
    </r>
    <r>
      <rPr>
        <sz val="10"/>
        <rFont val="Tahoma"/>
        <family val="2"/>
      </rPr>
      <t>1109  = טופס לא קריא 
1110 = טופס פג תוקף
1111 = אין מידע רלוונטי למעסיק</t>
    </r>
    <r>
      <rPr>
        <b/>
        <sz val="10"/>
        <color rgb="FF00B050"/>
        <rFont val="Tahoma"/>
        <family val="2"/>
      </rPr>
      <t xml:space="preserve">
1112 = קיים צורך בחישוב ידני לצורך שערוך יתרות פיצויים.
1113 = הטופס לא מולא כראוי 
1114 = המסמך לא ממוען למשלם 
1115 = לא צורפה הסכמת העובד לקבלת מידע שלם על יתרות פיצויים. 
1116 =אין הרשאה לגורם המתפעל</t>
    </r>
  </si>
  <si>
    <r>
      <t>תואם לגרסא שאיתה עובדים.
תווים חוקיים: 0-9.
גרסה נוכחית: 008</t>
    </r>
    <r>
      <rPr>
        <sz val="12"/>
        <color rgb="FFFF0000"/>
        <rFont val="Tahoma"/>
        <family val="2"/>
      </rPr>
      <t xml:space="preserve">
</t>
    </r>
    <r>
      <rPr>
        <b/>
        <sz val="12"/>
        <color rgb="FF00B050"/>
        <rFont val="Tahoma"/>
        <family val="2"/>
      </rPr>
      <t>גרסה חדשה  23.2.2025 : 009</t>
    </r>
  </si>
  <si>
    <r>
      <t xml:space="preserve">ערכים מוגדרים בלבד.
חלה חובה למלא ערכים בשדה זה אם בשדה "רמת משוב" נבחר ערך 2 = "ברמת רשומה", ובשדה "סוג משוב" נבחר ערך 2 = שלב ב'.
</t>
    </r>
    <r>
      <rPr>
        <sz val="12"/>
        <color rgb="FF00B050"/>
        <rFont val="Tahoma"/>
        <family val="2"/>
      </rPr>
      <t xml:space="preserve">ערך 1003  "מעסיק לא קיים" רלוונטי למענה לבקשות מידע  9300 , 9301 ,  9302 , 9303,  9305, 9402 ,9403 1801 ו 1810.  
ערך 1013 רלוונטי למענה לבקשות מידע על יתרות פיצויים 9301 , 9303  9306.   </t>
    </r>
    <r>
      <rPr>
        <strike/>
        <sz val="12"/>
        <rFont val="Tahoma"/>
        <family val="2"/>
      </rPr>
      <t xml:space="preserve">9300/1/2/3 שבוצעה בשם מעסיק </t>
    </r>
    <r>
      <rPr>
        <sz val="12"/>
        <rFont val="Tahoma"/>
        <family val="2"/>
      </rPr>
      <t xml:space="preserve">;
</t>
    </r>
    <r>
      <rPr>
        <sz val="12"/>
        <color rgb="FF00B050"/>
        <rFont val="Tahoma"/>
        <family val="2"/>
      </rPr>
      <t>ערך 1112 - קיים צורך בחישוב ידני לצורך שערוך יתרות פיצויים, רלוונטי עבור בקשות מידע לעניין יתרות פיצויים 9301 ו 9303 . ניתן להשתמש בקוד זה כאשר המידע המבוקש הוא לגבי פוליסות ביטוח מבטיחות תשואה שנפתחו עד לשנת 1991 בלבד שלגביהם קיים צורך בחישוב פרטני שלא ניתן לבצע במסגרת 3 שעות מענה.</t>
    </r>
    <r>
      <rPr>
        <sz val="12"/>
        <rFont val="Tahoma"/>
        <family val="2"/>
      </rPr>
      <t xml:space="preserve"> 
</t>
    </r>
    <r>
      <rPr>
        <sz val="12"/>
        <color rgb="FF00B050"/>
        <rFont val="Tahoma"/>
        <family val="2"/>
      </rPr>
      <t>ערך 1115 - ניתן להשיב בקוד זה לבקשת מידע 9301 או 9303 בלבד כאשר הבקשה מועברת על ידי המעסיק באמצעות המסלקה הפנסיונית ובשדה 52.1 בממשק אירועים הוזן הערך 1 "כן" כלומר, צורף אישורו של העובד אך בפועל לא צורף לבקשה המסמך הרלוונטי קוד מסמך 20 - אישור למעסיק לקבלת מידע על יתרות פיצויים מעובד .</t>
    </r>
    <r>
      <rPr>
        <sz val="12"/>
        <rFont val="Tahoma"/>
        <family val="2"/>
      </rPr>
      <t xml:space="preserve"> 
</t>
    </r>
    <r>
      <rPr>
        <strike/>
        <sz val="12"/>
        <rFont val="Tahoma"/>
        <family val="2"/>
      </rPr>
      <t>ערך 1013 = "לא רשומות לזכות העמית זכויות לעניין כספי פיצויים" רלוונטי למתן מענה לבקשת מידע על יתרות פיצויים של עובד מסויים (9301, 9303, 9305);</t>
    </r>
    <r>
      <rPr>
        <sz val="12"/>
        <rFont val="Tahoma"/>
        <family val="2"/>
      </rPr>
      <t xml:space="preserve">
ערכים 1014, 1015, 1017 ו-1040 רלוונטיים במענה לפעולה 1700 בלבד. 
ערך 1017 - יש לדווח ערך כמענה לבקשת ייפוי כוח מסוג ב-2 המכילה גם מספרי חשבון או פוליסה שאינם  קיימים  אצל הגוף המוסדי/המתפעל אליו הועברה הבקשה או כמענה לבקשת ייפוי כוח מסוג ב1.
ערך 1016 = "טיפול בבקשת 9201 הופסק באופן יזום על ידי גוף מוסדי" רלוונטי לתהליך סגירת פעולה מסוג 9201.  
ערכים 1020-1021 רלוונטיים לפעולה 1800, 1801, 1802, 1803, 1804 </t>
    </r>
    <r>
      <rPr>
        <b/>
        <sz val="12"/>
        <color rgb="FF00B050"/>
        <rFont val="Tahoma"/>
        <family val="2"/>
      </rPr>
      <t>1810 .</t>
    </r>
    <r>
      <rPr>
        <sz val="12"/>
        <rFont val="Tahoma"/>
        <family val="2"/>
      </rPr>
      <t xml:space="preserve">
ערך 1023 רלוונטי לבקשות 1400, 1401, 1402 
ערך 1022 רלוונטי לבקשות 1400, 1402
ערך 1024 ישמש עבור בקשות  1400, 1401, 1402, 1800, 1801, 1802, 1803, 1804 (הקוד תקף רק לבקשות לביצוע פעולות ולא לבקשות להעברת מידע שבוצעו ע"י מפיץ) 
ערך 1025 וערך 1026 רלוונטיים לבקשות 1900, 1901, 1902, 1903 
ערך 1027 רלוונטי לבקשות 1400, 1401, 1402 לגביהן הבקשה אינה כוללת דרישה למשוב באמצעות ממשק אחזקות 
ערך 1028 רלוונטי לבקשות שהועברו למבטח בגין כיסוי ביטוחי שנרכש אגב קופת גמל 
ערך 1029, 1109, 1110, </t>
    </r>
    <r>
      <rPr>
        <sz val="12"/>
        <color rgb="FF00B050"/>
        <rFont val="Tahoma"/>
        <family val="2"/>
      </rPr>
      <t xml:space="preserve">1113 ו 1114 </t>
    </r>
    <r>
      <rPr>
        <sz val="12"/>
        <rFont val="Tahoma"/>
        <family val="2"/>
      </rPr>
      <t xml:space="preserve">רלוונטיים לפעולות אשר הועברו עם צרופות. יחד עם זאת, הקוד  1029 אינו רלוונטי במענה לבקשות 1700 .
ערך 1030 רלוונטי לפעולות 2100/1, 2200/1, 2300/1, 2400/1. עבור קוד שגיאה זה יש להוסיף פירוט ברמת שגיאה 
ערכים 1031 ו- 1033 רלוונטיים לפעולה 2500 
ערך 1032 רלוונטי לפעולות 2000/1, 2100/1, 2200/1, 2300/1, 2400/1. עבור קוד שגיאה זה יש להוסיף פירוט ברמת שגיאה 
ערכים 1101-1104 ישמשו לפעולות פישינג פנסיה באמצעות המסלקה הפנסיונית 9102.
ערך 1105 רלוונטי רק לפעולות 1700 ו-9200/1 שעבר בהן ייפוי כוח
ערך 1106 רלוונטי למענה לבקשות מידע אודות יתרות פיצויים 9300/1/2/3 וכן בבקשות מידע לטיוב מערכות שכר 9402-9403, בהן צורפה הצהרת מעסיק בנוגע לשליטה בחברות בנות
ערכים 1107 ו- 1108 רלוונטים רק לבקשות 9109, 9309
ערך 1111 רלוונטי לבקשות 9401 בלבד, לשימוש במקרים בהם לגוף המוסדי אין מידע רלוונטי למסור למעסיק, מבלי לפרט את המקרים הספציפיים (לדוגמה: אין הפקדות ב-12 החודשים, אין מוצרים פעילים, חוסך לא מוכר וכו') ולא על מנת לציין כי המעסיק אינו מוכר. 
</t>
    </r>
    <r>
      <rPr>
        <sz val="12"/>
        <color rgb="FF00B050"/>
        <rFont val="Tahoma"/>
        <family val="2"/>
      </rPr>
      <t>ערך 1114 נועד למשוב עבור פעולה 1801 "העברת מסמכים לגוף מוסדי מלקוח (עובד) או בעל רישיון הפועל מטעמו הקשורים לאירוע עזיבת מקום עבודה" בה במסגרת הטפסים המועברים מועבר טופס לקופת גמל שהיא אינה המשלם.
ערך 1116 מיועד למקרים בהם מועברת בקשה על ידי מתפעל בשם מעסיק ולמתפעל לא ניתן ייפוי כח מתאים מצד המעסיק.</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</si>
</sst>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charset val="177"/>
      <scheme val="minor"/>
    </font>
    <font>
      <b/>
      <sz val="11"/>
      <color indexed="8"/>
      <name val="Arial"/>
      <family val="2"/>
      <charset val="177"/>
    </font>
    <font>
      <sz val="10"/>
      <name val="Arial"/>
      <family val="2"/>
    </font>
    <font>
      <sz val="12"/>
      <name val="Tahoma"/>
      <family val="2"/>
    </font>
    <font>
      <b/>
      <sz val="12"/>
      <name val="Tahoma"/>
      <family val="2"/>
    </font>
    <font>
      <sz val="11"/>
      <name val="Calibri"/>
      <family val="2"/>
      <charset val="177"/>
      <scheme val="minor"/>
    </font>
    <font>
      <sz val="10"/>
      <name val="Tahoma"/>
      <family val="2"/>
    </font>
    <font>
      <sz val="10"/>
      <color rgb="FFFF0000"/>
      <name val="Tahoma"/>
      <family val="2"/>
    </font>
    <font>
      <sz val="12"/>
      <color rgb="FFFF0000"/>
      <name val="Tahoma"/>
      <family val="2"/>
    </font>
    <font>
      <b/>
      <u/>
      <sz val="12"/>
      <name val="Tahoma"/>
      <family val="2"/>
    </font>
    <font>
      <b/>
      <sz val="18"/>
      <name val="Tahoma"/>
      <family val="2"/>
    </font>
    <font>
      <strike/>
      <sz val="12"/>
      <name val="Tahoma"/>
      <family val="2"/>
    </font>
    <font>
      <u/>
      <sz val="10"/>
      <color theme="10"/>
      <name val="Arial"/>
      <family val="2"/>
    </font>
    <font>
      <sz val="10"/>
      <name val="Arial"/>
      <family val="2"/>
      <charset val="177"/>
    </font>
    <font>
      <b/>
      <sz val="11"/>
      <color theme="1"/>
      <name val="Calibri"/>
      <family val="2"/>
      <scheme val="minor"/>
    </font>
    <font>
      <b/>
      <sz val="20"/>
      <color theme="1"/>
      <name val="Calibri"/>
      <family val="2"/>
      <scheme val="minor"/>
    </font>
    <font>
      <sz val="20"/>
      <color theme="1"/>
      <name val="Calibri"/>
      <family val="2"/>
      <scheme val="minor"/>
    </font>
    <font>
      <sz val="20"/>
      <color theme="1"/>
      <name val="Calibri"/>
      <family val="2"/>
      <charset val="177"/>
      <scheme val="minor"/>
    </font>
    <font>
      <b/>
      <sz val="18"/>
      <color theme="1"/>
      <name val="Calibri"/>
      <family val="2"/>
      <scheme val="minor"/>
    </font>
    <font>
      <b/>
      <sz val="20"/>
      <color theme="1"/>
      <name val="Calibri"/>
      <family val="2"/>
      <charset val="177"/>
      <scheme val="minor"/>
    </font>
    <font>
      <b/>
      <sz val="14"/>
      <color theme="1"/>
      <name val="Tahoma"/>
      <family val="2"/>
    </font>
    <font>
      <b/>
      <sz val="16"/>
      <color rgb="FFFF0000"/>
      <name val="Tahoma"/>
      <family val="2"/>
    </font>
    <font>
      <sz val="12"/>
      <color theme="1"/>
      <name val="Tahoma"/>
      <family val="2"/>
    </font>
    <font>
      <b/>
      <sz val="14"/>
      <name val="Tahoma"/>
      <family val="2"/>
    </font>
    <font>
      <sz val="14"/>
      <name val="Tahoma"/>
      <family val="2"/>
    </font>
    <font>
      <b/>
      <sz val="24"/>
      <color rgb="FFFF0000"/>
      <name val="Calibri"/>
      <family val="2"/>
      <scheme val="minor"/>
    </font>
    <font>
      <sz val="12"/>
      <color theme="1"/>
      <name val="Calibri"/>
      <family val="2"/>
      <charset val="177"/>
      <scheme val="minor"/>
    </font>
    <font>
      <b/>
      <sz val="12"/>
      <color rgb="FFFF0000"/>
      <name val="Tahoma"/>
      <family val="2"/>
    </font>
    <font>
      <b/>
      <sz val="12"/>
      <color rgb="FF00B050"/>
      <name val="Tahoma"/>
      <family val="2"/>
    </font>
    <font>
      <b/>
      <sz val="10"/>
      <color rgb="FF00B050"/>
      <name val="Tahoma"/>
      <family val="2"/>
    </font>
    <font>
      <strike/>
      <sz val="12"/>
      <color rgb="FF00B050"/>
      <name val="Tahoma"/>
      <family val="2"/>
    </font>
    <font>
      <b/>
      <u/>
      <sz val="12"/>
      <color rgb="FF00B050"/>
      <name val="Tahoma"/>
      <family val="2"/>
    </font>
    <font>
      <sz val="12"/>
      <color rgb="FF00B050"/>
      <name val="Tahoma"/>
      <family val="2"/>
    </font>
    <font>
      <sz val="12"/>
      <name val="David"/>
      <family val="2"/>
    </font>
    <font>
      <strike/>
      <sz val="12"/>
      <color rgb="FF00B050"/>
      <name val="David"/>
      <family val="2"/>
    </font>
    <font>
      <u/>
      <sz val="12"/>
      <color rgb="FF00B050"/>
      <name val="Tahoma"/>
      <family val="2"/>
    </font>
    <font>
      <u/>
      <sz val="12"/>
      <name val="Tahoma"/>
      <family val="2"/>
    </font>
    <font>
      <b/>
      <strike/>
      <u/>
      <sz val="12"/>
      <name val="Tahoma"/>
      <family val="2"/>
    </font>
  </fonts>
  <fills count="15">
    <fill>
      <patternFill patternType="none"/>
    </fill>
    <fill>
      <patternFill patternType="gray125"/>
    </fill>
    <fill>
      <patternFill patternType="solid">
        <fgColor theme="0"/>
        <bgColor indexed="64"/>
      </patternFill>
    </fill>
    <fill>
      <patternFill patternType="solid">
        <fgColor rgb="FFFFFF00"/>
        <bgColor indexed="64"/>
      </patternFill>
    </fill>
    <fill>
      <gradientFill degree="90">
        <stop position="0">
          <color theme="0"/>
        </stop>
        <stop position="1">
          <color theme="9" tint="-0.25098422193060094"/>
        </stop>
      </gradientFill>
    </fill>
    <fill>
      <gradientFill degree="90">
        <stop position="0">
          <color theme="0"/>
        </stop>
        <stop position="1">
          <color theme="5" tint="0.59999389629810485"/>
        </stop>
      </gradientFill>
    </fill>
    <fill>
      <gradientFill degree="90">
        <stop position="0">
          <color theme="0"/>
        </stop>
        <stop position="1">
          <color theme="4" tint="-0.25098422193060094"/>
        </stop>
      </gradientFill>
    </fill>
    <fill>
      <gradientFill degree="90">
        <stop position="0">
          <color theme="0"/>
        </stop>
        <stop position="1">
          <color theme="7" tint="0.40000610370189521"/>
        </stop>
      </gradientFill>
    </fill>
    <fill>
      <gradientFill degree="90">
        <stop position="0">
          <color theme="0"/>
        </stop>
        <stop position="1">
          <color theme="3" tint="0.80001220740379042"/>
        </stop>
      </gradientFill>
    </fill>
    <fill>
      <patternFill patternType="solid">
        <fgColor theme="6" tint="0.79998168889431442"/>
        <bgColor indexed="64"/>
      </patternFill>
    </fill>
    <fill>
      <gradientFill degree="90">
        <stop position="0">
          <color theme="0"/>
        </stop>
        <stop position="1">
          <color theme="9" tint="0.40000610370189521"/>
        </stop>
      </gradient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79998168889431442"/>
        <bgColor indexed="64"/>
      </patternFill>
    </fill>
  </fills>
  <borders count="39">
    <border>
      <left/>
      <right/>
      <top/>
      <bottom/>
      <diagonal/>
    </border>
    <border>
      <left style="thin">
        <color indexed="64"/>
      </left>
      <right style="medium">
        <color indexed="64"/>
      </right>
      <top style="medium">
        <color indexed="64"/>
      </top>
      <bottom style="medium">
        <color indexed="64"/>
      </bottom>
      <diagonal/>
    </border>
    <border>
      <left/>
      <right style="thin">
        <color rgb="FFFF0000"/>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s>
  <cellStyleXfs count="4">
    <xf numFmtId="0" fontId="0" fillId="0" borderId="0"/>
    <xf numFmtId="0" fontId="2" fillId="0" borderId="0"/>
    <xf numFmtId="0" fontId="12" fillId="0" borderId="0" applyNumberFormat="0" applyFill="0" applyBorder="0" applyAlignment="0" applyProtection="0">
      <alignment vertical="top"/>
      <protection locked="0"/>
    </xf>
    <xf numFmtId="0" fontId="13" fillId="0" borderId="0"/>
  </cellStyleXfs>
  <cellXfs count="200">
    <xf numFmtId="0" fontId="0" fillId="0" borderId="0" xfId="0"/>
    <xf numFmtId="0" fontId="0" fillId="0" borderId="0" xfId="0" applyAlignment="1">
      <alignment wrapText="1"/>
    </xf>
    <xf numFmtId="0" fontId="0" fillId="0" borderId="0" xfId="0" applyFill="1" applyAlignment="1">
      <alignment wrapText="1"/>
    </xf>
    <xf numFmtId="0" fontId="1" fillId="0" borderId="0" xfId="0" applyFont="1" applyAlignment="1">
      <alignment wrapText="1"/>
    </xf>
    <xf numFmtId="0" fontId="3" fillId="0" borderId="0" xfId="1" applyFont="1" applyFill="1" applyBorder="1" applyAlignment="1">
      <alignment vertical="top" wrapText="1"/>
    </xf>
    <xf numFmtId="0" fontId="3" fillId="0" borderId="0" xfId="1" applyFont="1" applyFill="1" applyBorder="1" applyAlignment="1">
      <alignment horizontal="center" vertical="center" wrapText="1"/>
    </xf>
    <xf numFmtId="0" fontId="3" fillId="0" borderId="0" xfId="1" applyFont="1" applyFill="1" applyBorder="1" applyAlignment="1">
      <alignment horizontal="right" vertical="top" wrapText="1" readingOrder="2"/>
    </xf>
    <xf numFmtId="0" fontId="4" fillId="0" borderId="0" xfId="1" applyFont="1" applyFill="1" applyBorder="1" applyAlignment="1">
      <alignment horizontal="center" vertical="center" textRotation="90" wrapText="1" readingOrder="2"/>
    </xf>
    <xf numFmtId="0" fontId="4" fillId="0" borderId="0" xfId="1" applyFont="1" applyFill="1" applyBorder="1" applyAlignment="1">
      <alignment horizontal="center" vertical="center" textRotation="90" wrapText="1"/>
    </xf>
    <xf numFmtId="0" fontId="4" fillId="0" borderId="0" xfId="1" applyFont="1" applyFill="1" applyBorder="1" applyAlignment="1">
      <alignment horizontal="center" vertical="top" wrapText="1"/>
    </xf>
    <xf numFmtId="0" fontId="4" fillId="0" borderId="0" xfId="1" applyFont="1" applyFill="1" applyBorder="1" applyAlignment="1">
      <alignment horizontal="left" vertical="top" wrapText="1"/>
    </xf>
    <xf numFmtId="0" fontId="5" fillId="0" borderId="0" xfId="0" applyFont="1" applyFill="1" applyAlignment="1">
      <alignment wrapText="1"/>
    </xf>
    <xf numFmtId="0" fontId="4" fillId="0" borderId="0" xfId="1" applyFont="1" applyFill="1" applyBorder="1" applyAlignment="1">
      <alignment horizontal="center" wrapText="1"/>
    </xf>
    <xf numFmtId="0" fontId="4" fillId="0" borderId="0" xfId="1" applyFont="1" applyFill="1" applyBorder="1" applyAlignment="1">
      <alignment horizontal="left" wrapText="1"/>
    </xf>
    <xf numFmtId="0" fontId="3" fillId="0" borderId="0" xfId="1" applyFont="1" applyFill="1" applyBorder="1" applyAlignment="1">
      <alignment horizontal="right" vertical="top" wrapText="1"/>
    </xf>
    <xf numFmtId="0" fontId="3" fillId="0" borderId="0" xfId="1" applyFont="1" applyFill="1" applyBorder="1" applyAlignment="1">
      <alignment horizontal="center" vertical="top" wrapText="1"/>
    </xf>
    <xf numFmtId="0" fontId="3" fillId="0" borderId="1" xfId="1" applyFont="1" applyFill="1" applyBorder="1" applyAlignment="1">
      <alignment horizontal="right" vertical="top" wrapText="1" readingOrder="2"/>
    </xf>
    <xf numFmtId="0" fontId="3" fillId="0" borderId="3" xfId="1" applyFont="1" applyFill="1" applyBorder="1" applyAlignment="1">
      <alignment horizontal="center" vertical="center" wrapText="1"/>
    </xf>
    <xf numFmtId="0" fontId="0" fillId="0" borderId="0" xfId="0" applyAlignment="1" applyProtection="1">
      <alignment wrapText="1"/>
      <protection locked="0"/>
    </xf>
    <xf numFmtId="0" fontId="4" fillId="0" borderId="0" xfId="1" applyFont="1" applyFill="1" applyBorder="1" applyAlignment="1" applyProtection="1">
      <alignment horizontal="center" vertical="top" wrapText="1"/>
      <protection locked="0"/>
    </xf>
    <xf numFmtId="0" fontId="4" fillId="0" borderId="0" xfId="1" applyFont="1" applyFill="1" applyBorder="1" applyAlignment="1" applyProtection="1">
      <alignment horizontal="left" vertical="top" wrapText="1"/>
      <protection locked="0"/>
    </xf>
    <xf numFmtId="0" fontId="3" fillId="0" borderId="7" xfId="1" applyFont="1" applyFill="1" applyBorder="1" applyAlignment="1">
      <alignment horizontal="right" vertical="top" wrapText="1"/>
    </xf>
    <xf numFmtId="0" fontId="3" fillId="0" borderId="8" xfId="1" applyFont="1" applyFill="1" applyBorder="1" applyAlignment="1">
      <alignment horizontal="center" vertical="center" wrapText="1"/>
    </xf>
    <xf numFmtId="0" fontId="3" fillId="0" borderId="14" xfId="1" applyFont="1" applyFill="1" applyBorder="1" applyAlignment="1">
      <alignment horizontal="center" vertical="center" wrapText="1"/>
    </xf>
    <xf numFmtId="0" fontId="3" fillId="0" borderId="9" xfId="1" applyFont="1" applyFill="1" applyBorder="1" applyAlignment="1">
      <alignment horizontal="right" vertical="top" wrapText="1"/>
    </xf>
    <xf numFmtId="0" fontId="3" fillId="0" borderId="10" xfId="1" applyFont="1" applyFill="1" applyBorder="1" applyAlignment="1">
      <alignment horizontal="center" vertical="center" wrapText="1"/>
    </xf>
    <xf numFmtId="0" fontId="4" fillId="0" borderId="0" xfId="1" applyFont="1" applyFill="1" applyBorder="1" applyAlignment="1">
      <alignment horizontal="right" vertical="top" wrapText="1" readingOrder="2"/>
    </xf>
    <xf numFmtId="0" fontId="4" fillId="0" borderId="0" xfId="1" applyFont="1" applyFill="1" applyBorder="1" applyAlignment="1">
      <alignment vertical="center" textRotation="90" wrapText="1"/>
    </xf>
    <xf numFmtId="0" fontId="3" fillId="0" borderId="0" xfId="1" applyFont="1" applyFill="1" applyAlignment="1">
      <alignment horizontal="center" vertical="center" wrapText="1"/>
    </xf>
    <xf numFmtId="0" fontId="3" fillId="0" borderId="0" xfId="1" applyFont="1" applyFill="1" applyBorder="1" applyAlignment="1">
      <alignment horizontal="left" vertical="top" wrapText="1"/>
    </xf>
    <xf numFmtId="0" fontId="3" fillId="0" borderId="0" xfId="1" applyFont="1" applyFill="1" applyAlignment="1">
      <alignment horizontal="center" vertical="top" wrapText="1"/>
    </xf>
    <xf numFmtId="0" fontId="4" fillId="0" borderId="0" xfId="1" applyFont="1" applyFill="1" applyBorder="1" applyAlignment="1">
      <alignment horizontal="center" vertical="center" wrapText="1"/>
    </xf>
    <xf numFmtId="0" fontId="4" fillId="0" borderId="0" xfId="1" applyFont="1" applyFill="1" applyBorder="1" applyAlignment="1">
      <alignment horizontal="center" vertical="top" textRotation="90" wrapText="1"/>
    </xf>
    <xf numFmtId="0" fontId="3" fillId="0" borderId="0" xfId="1" applyFont="1" applyFill="1" applyAlignment="1">
      <alignment wrapText="1"/>
    </xf>
    <xf numFmtId="0" fontId="3" fillId="0" borderId="11" xfId="0" applyFont="1" applyFill="1" applyBorder="1" applyAlignment="1">
      <alignment vertical="top" wrapText="1"/>
    </xf>
    <xf numFmtId="0" fontId="3" fillId="0" borderId="14" xfId="0" applyFont="1" applyFill="1" applyBorder="1" applyAlignment="1">
      <alignment vertical="top" wrapText="1"/>
    </xf>
    <xf numFmtId="0" fontId="3" fillId="0" borderId="11" xfId="1" applyFont="1" applyFill="1" applyBorder="1" applyAlignment="1">
      <alignment horizontal="right" vertical="top" wrapText="1"/>
    </xf>
    <xf numFmtId="0" fontId="3" fillId="0" borderId="14" xfId="1" applyFont="1" applyFill="1" applyBorder="1" applyAlignment="1">
      <alignment horizontal="right" vertical="top" wrapText="1"/>
    </xf>
    <xf numFmtId="0" fontId="3" fillId="0" borderId="10" xfId="1" applyFont="1" applyFill="1" applyBorder="1" applyAlignment="1">
      <alignment horizontal="right" vertical="top" wrapText="1"/>
    </xf>
    <xf numFmtId="0" fontId="3" fillId="0" borderId="0" xfId="1" applyFont="1" applyFill="1" applyBorder="1" applyAlignment="1">
      <alignment vertical="top"/>
    </xf>
    <xf numFmtId="0" fontId="3" fillId="0" borderId="0" xfId="1" applyFont="1" applyFill="1" applyAlignment="1">
      <alignment vertical="top" wrapText="1"/>
    </xf>
    <xf numFmtId="0" fontId="4" fillId="0" borderId="0" xfId="1" applyFont="1" applyFill="1" applyBorder="1" applyAlignment="1">
      <alignment vertical="center" wrapText="1"/>
    </xf>
    <xf numFmtId="0" fontId="10" fillId="0" borderId="0" xfId="1" applyFont="1" applyFill="1" applyAlignment="1">
      <alignment horizontal="center" readingOrder="1"/>
    </xf>
    <xf numFmtId="0" fontId="3" fillId="0" borderId="0" xfId="1" applyFont="1" applyFill="1" applyBorder="1" applyAlignment="1">
      <alignment horizontal="center" vertical="top"/>
    </xf>
    <xf numFmtId="0" fontId="4" fillId="0" borderId="0" xfId="1" applyFont="1" applyFill="1" applyAlignment="1">
      <alignment horizontal="left" vertical="top" wrapText="1"/>
    </xf>
    <xf numFmtId="0" fontId="4" fillId="0" borderId="0" xfId="0" applyFont="1" applyFill="1" applyBorder="1" applyAlignment="1">
      <alignment horizontal="center" vertical="center" wrapText="1"/>
    </xf>
    <xf numFmtId="0" fontId="4" fillId="0" borderId="19" xfId="0" applyFont="1" applyFill="1" applyBorder="1" applyAlignment="1">
      <alignment vertical="center" wrapText="1" readingOrder="2"/>
    </xf>
    <xf numFmtId="0" fontId="0" fillId="2" borderId="0" xfId="0" applyFill="1" applyBorder="1"/>
    <xf numFmtId="0" fontId="0" fillId="0" borderId="0" xfId="0" applyFill="1" applyBorder="1"/>
    <xf numFmtId="0" fontId="14" fillId="2" borderId="0" xfId="0" applyFont="1" applyFill="1" applyBorder="1" applyAlignment="1">
      <alignment horizontal="center" wrapText="1"/>
    </xf>
    <xf numFmtId="0" fontId="0" fillId="2" borderId="0" xfId="0" applyFill="1" applyBorder="1" applyAlignment="1"/>
    <xf numFmtId="0" fontId="0" fillId="0" borderId="0" xfId="0" applyFill="1" applyBorder="1" applyAlignment="1"/>
    <xf numFmtId="0" fontId="14" fillId="0" borderId="0" xfId="0" applyFont="1" applyFill="1" applyBorder="1" applyAlignment="1">
      <alignment horizontal="center" wrapText="1"/>
    </xf>
    <xf numFmtId="0" fontId="14" fillId="0" borderId="0" xfId="0" applyFont="1" applyFill="1" applyBorder="1" applyAlignment="1">
      <alignment readingOrder="2"/>
    </xf>
    <xf numFmtId="0" fontId="14" fillId="2" borderId="0" xfId="0" applyFont="1" applyFill="1" applyBorder="1" applyAlignment="1">
      <alignment readingOrder="2"/>
    </xf>
    <xf numFmtId="0" fontId="14" fillId="2" borderId="0" xfId="0" applyFont="1" applyFill="1" applyBorder="1" applyAlignment="1">
      <alignment horizontal="center" readingOrder="2"/>
    </xf>
    <xf numFmtId="0" fontId="14" fillId="2" borderId="0" xfId="0" applyFont="1" applyFill="1" applyBorder="1" applyAlignment="1">
      <alignment horizontal="center"/>
    </xf>
    <xf numFmtId="0" fontId="14" fillId="2" borderId="0" xfId="0" applyFont="1" applyFill="1" applyBorder="1" applyAlignment="1"/>
    <xf numFmtId="0" fontId="0" fillId="2" borderId="0" xfId="0" applyFill="1" applyBorder="1" applyAlignment="1">
      <alignment horizontal="center"/>
    </xf>
    <xf numFmtId="0" fontId="0" fillId="0" borderId="0" xfId="0" applyFill="1" applyBorder="1" applyAlignment="1">
      <alignment horizontal="center"/>
    </xf>
    <xf numFmtId="0" fontId="14" fillId="0" borderId="0" xfId="0" applyFont="1" applyFill="1" applyBorder="1" applyAlignment="1">
      <alignment horizontal="center"/>
    </xf>
    <xf numFmtId="0" fontId="0" fillId="0" borderId="0" xfId="0" applyAlignment="1">
      <alignment horizontal="center"/>
    </xf>
    <xf numFmtId="0" fontId="14" fillId="0" borderId="0" xfId="0" applyFont="1" applyFill="1" applyBorder="1" applyAlignment="1"/>
    <xf numFmtId="0" fontId="0" fillId="0" borderId="0" xfId="0" applyBorder="1"/>
    <xf numFmtId="0" fontId="0" fillId="0" borderId="0" xfId="0" applyBorder="1" applyAlignment="1"/>
    <xf numFmtId="0" fontId="0" fillId="0" borderId="0" xfId="0" applyBorder="1" applyAlignment="1">
      <alignment horizontal="center"/>
    </xf>
    <xf numFmtId="0" fontId="15" fillId="4" borderId="19" xfId="0" applyFont="1" applyFill="1" applyBorder="1" applyAlignment="1">
      <alignment horizontal="center" wrapText="1"/>
    </xf>
    <xf numFmtId="0" fontId="16" fillId="0" borderId="0" xfId="0" applyFont="1"/>
    <xf numFmtId="0" fontId="15" fillId="5" borderId="19" xfId="0" applyFont="1" applyFill="1" applyBorder="1" applyAlignment="1">
      <alignment horizontal="center" wrapText="1"/>
    </xf>
    <xf numFmtId="0" fontId="16" fillId="0" borderId="0" xfId="0" applyFont="1" applyFill="1" applyBorder="1"/>
    <xf numFmtId="0" fontId="16" fillId="0" borderId="0" xfId="0" applyFont="1" applyFill="1" applyBorder="1" applyAlignment="1">
      <alignment horizontal="center"/>
    </xf>
    <xf numFmtId="0" fontId="15" fillId="6" borderId="19" xfId="0" applyFont="1" applyFill="1" applyBorder="1" applyAlignment="1">
      <alignment horizontal="center"/>
    </xf>
    <xf numFmtId="0" fontId="15" fillId="7" borderId="19" xfId="0" applyFont="1" applyFill="1" applyBorder="1" applyAlignment="1">
      <alignment horizontal="center" wrapText="1"/>
    </xf>
    <xf numFmtId="0" fontId="17" fillId="0" borderId="0" xfId="0" applyFont="1" applyFill="1" applyBorder="1" applyAlignment="1">
      <alignment wrapText="1"/>
    </xf>
    <xf numFmtId="0" fontId="17" fillId="0" borderId="0" xfId="0" applyFont="1" applyAlignment="1">
      <alignment wrapText="1"/>
    </xf>
    <xf numFmtId="0" fontId="15" fillId="8" borderId="19" xfId="0" applyFont="1" applyFill="1" applyBorder="1" applyAlignment="1">
      <alignment horizontal="center"/>
    </xf>
    <xf numFmtId="0" fontId="15" fillId="9" borderId="19" xfId="0" applyFont="1" applyFill="1" applyBorder="1" applyAlignment="1">
      <alignment horizontal="center" wrapText="1"/>
    </xf>
    <xf numFmtId="0" fontId="18" fillId="0" borderId="0" xfId="0" applyFont="1" applyFill="1" applyBorder="1" applyAlignment="1">
      <alignment horizontal="center"/>
    </xf>
    <xf numFmtId="0" fontId="15" fillId="9" borderId="19" xfId="0" applyFont="1" applyFill="1" applyBorder="1"/>
    <xf numFmtId="0" fontId="19" fillId="0" borderId="0" xfId="0" applyFont="1" applyFill="1" applyBorder="1" applyAlignment="1">
      <alignment horizontal="center" wrapText="1"/>
    </xf>
    <xf numFmtId="0" fontId="18" fillId="10" borderId="19" xfId="0" applyFont="1" applyFill="1" applyBorder="1" applyAlignment="1">
      <alignment horizontal="center" wrapText="1"/>
    </xf>
    <xf numFmtId="0" fontId="4" fillId="0" borderId="14" xfId="1"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3" fillId="0" borderId="0" xfId="1" applyFont="1" applyFill="1" applyBorder="1" applyAlignment="1">
      <alignment horizontal="center" vertical="center" textRotation="90" wrapText="1"/>
    </xf>
    <xf numFmtId="0" fontId="8" fillId="0" borderId="0" xfId="1" applyFont="1" applyFill="1" applyBorder="1" applyAlignment="1">
      <alignment horizontal="right" vertical="top" wrapText="1" readingOrder="2"/>
    </xf>
    <xf numFmtId="0" fontId="8" fillId="0" borderId="0" xfId="1" applyFont="1" applyFill="1" applyBorder="1" applyAlignment="1">
      <alignment horizontal="center" vertical="center" wrapText="1"/>
    </xf>
    <xf numFmtId="0" fontId="8" fillId="0" borderId="0" xfId="1" applyFont="1" applyFill="1" applyBorder="1" applyAlignment="1">
      <alignment horizontal="left" vertical="top" wrapText="1"/>
    </xf>
    <xf numFmtId="0" fontId="8" fillId="0" borderId="0" xfId="1" applyFont="1" applyFill="1" applyBorder="1" applyAlignment="1">
      <alignment vertical="top" wrapText="1"/>
    </xf>
    <xf numFmtId="0" fontId="8" fillId="0" borderId="0" xfId="1" applyFont="1" applyFill="1" applyBorder="1" applyAlignment="1">
      <alignment horizontal="center" vertical="top" wrapText="1"/>
    </xf>
    <xf numFmtId="0" fontId="8" fillId="0" borderId="0" xfId="1" applyFont="1" applyFill="1" applyBorder="1" applyAlignment="1">
      <alignment horizontal="right" vertical="top" wrapText="1"/>
    </xf>
    <xf numFmtId="0" fontId="20" fillId="0" borderId="0" xfId="1" applyFont="1" applyFill="1" applyAlignment="1">
      <alignment horizontal="center" vertical="center"/>
    </xf>
    <xf numFmtId="0" fontId="21" fillId="0" borderId="0" xfId="1" applyFont="1" applyFill="1" applyAlignment="1">
      <alignment horizontal="center" vertical="center"/>
    </xf>
    <xf numFmtId="0" fontId="22" fillId="0" borderId="0" xfId="1" applyFont="1" applyFill="1" applyAlignment="1">
      <alignment vertical="top"/>
    </xf>
    <xf numFmtId="0" fontId="4" fillId="11" borderId="16" xfId="1" applyFont="1" applyFill="1" applyBorder="1" applyAlignment="1">
      <alignment horizontal="right" vertical="top" wrapText="1"/>
    </xf>
    <xf numFmtId="0" fontId="4" fillId="11" borderId="17" xfId="1" applyFont="1" applyFill="1" applyBorder="1" applyAlignment="1">
      <alignment horizontal="right" vertical="top" wrapText="1"/>
    </xf>
    <xf numFmtId="0" fontId="3" fillId="11" borderId="16" xfId="1" applyFont="1" applyFill="1" applyBorder="1" applyAlignment="1">
      <alignment horizontal="right" vertical="top" wrapText="1"/>
    </xf>
    <xf numFmtId="0" fontId="4" fillId="11" borderId="18" xfId="1" applyFont="1" applyFill="1" applyBorder="1" applyAlignment="1">
      <alignment horizontal="right" vertical="top" wrapText="1"/>
    </xf>
    <xf numFmtId="0" fontId="4" fillId="11" borderId="20" xfId="1" applyFont="1" applyFill="1" applyBorder="1" applyAlignment="1">
      <alignment horizontal="right" vertical="top" wrapText="1"/>
    </xf>
    <xf numFmtId="0" fontId="3" fillId="11" borderId="16" xfId="0" applyFont="1" applyFill="1" applyBorder="1" applyAlignment="1">
      <alignment vertical="top" wrapText="1"/>
    </xf>
    <xf numFmtId="0" fontId="14" fillId="0" borderId="0" xfId="0" applyFont="1" applyFill="1" applyBorder="1" applyAlignment="1">
      <alignment horizontal="center" readingOrder="2"/>
    </xf>
    <xf numFmtId="0" fontId="3" fillId="0" borderId="3" xfId="1" applyFont="1" applyFill="1" applyBorder="1" applyAlignment="1">
      <alignment horizontal="right" vertical="top" wrapText="1"/>
    </xf>
    <xf numFmtId="0" fontId="3" fillId="0" borderId="1" xfId="1" applyFont="1" applyFill="1" applyBorder="1" applyAlignment="1">
      <alignment horizontal="right" vertical="top" wrapText="1"/>
    </xf>
    <xf numFmtId="0" fontId="3" fillId="0" borderId="8" xfId="1" applyFont="1" applyFill="1" applyBorder="1" applyAlignment="1">
      <alignment horizontal="right" vertical="top" wrapText="1"/>
    </xf>
    <xf numFmtId="0" fontId="23" fillId="0" borderId="0" xfId="1" applyFont="1" applyFill="1" applyAlignment="1">
      <alignment horizontal="center" vertical="center"/>
    </xf>
    <xf numFmtId="0" fontId="3" fillId="0" borderId="14" xfId="1" applyFont="1" applyFill="1" applyBorder="1" applyAlignment="1">
      <alignment horizontal="center" wrapText="1"/>
    </xf>
    <xf numFmtId="0" fontId="24" fillId="0" borderId="0" xfId="1" applyFont="1" applyFill="1" applyAlignment="1">
      <alignment horizontal="center" vertical="center"/>
    </xf>
    <xf numFmtId="0" fontId="3" fillId="0" borderId="0" xfId="1" applyFont="1" applyFill="1" applyAlignment="1">
      <alignment horizontal="center" wrapText="1"/>
    </xf>
    <xf numFmtId="0" fontId="3" fillId="0" borderId="0" xfId="1" applyFont="1" applyFill="1" applyAlignment="1">
      <alignment horizontal="center"/>
    </xf>
    <xf numFmtId="0" fontId="5" fillId="0" borderId="0" xfId="0" applyFont="1" applyAlignment="1">
      <alignment horizontal="center" wrapText="1"/>
    </xf>
    <xf numFmtId="0" fontId="3" fillId="0" borderId="0" xfId="1" applyFont="1" applyFill="1" applyAlignment="1">
      <alignment vertical="top"/>
    </xf>
    <xf numFmtId="0" fontId="25" fillId="3" borderId="0" xfId="0" applyFont="1" applyFill="1"/>
    <xf numFmtId="0" fontId="4" fillId="0" borderId="0" xfId="1" applyFont="1" applyFill="1" applyAlignment="1">
      <alignment horizontal="center"/>
    </xf>
    <xf numFmtId="0" fontId="26" fillId="0" borderId="0" xfId="0" applyFont="1" applyAlignment="1">
      <alignment wrapText="1"/>
    </xf>
    <xf numFmtId="0" fontId="27" fillId="0" borderId="0" xfId="1" applyFont="1" applyFill="1" applyBorder="1" applyAlignment="1">
      <alignment horizontal="center" vertical="center" textRotation="90" wrapText="1"/>
    </xf>
    <xf numFmtId="0" fontId="3" fillId="0" borderId="0" xfId="1" applyFont="1" applyFill="1" applyBorder="1" applyAlignment="1">
      <alignment horizontal="center" vertical="top" wrapText="1" readingOrder="2"/>
    </xf>
    <xf numFmtId="0" fontId="27" fillId="0" borderId="2" xfId="1" applyFont="1" applyFill="1" applyBorder="1" applyAlignment="1">
      <alignment horizontal="right" vertical="top" wrapText="1"/>
    </xf>
    <xf numFmtId="0" fontId="4" fillId="3" borderId="0" xfId="1" applyFont="1" applyFill="1" applyBorder="1" applyAlignment="1">
      <alignment horizontal="center" vertical="center" wrapText="1"/>
    </xf>
    <xf numFmtId="0" fontId="27" fillId="0" borderId="0" xfId="0" applyFont="1" applyAlignment="1">
      <alignment horizontal="right" vertical="top" wrapText="1"/>
    </xf>
    <xf numFmtId="0" fontId="2" fillId="0" borderId="0" xfId="1" applyFont="1" applyFill="1" applyBorder="1" applyAlignment="1">
      <alignment horizontal="left" vertical="top" wrapText="1"/>
    </xf>
    <xf numFmtId="0" fontId="27" fillId="0" borderId="0" xfId="0" applyFont="1" applyFill="1" applyAlignment="1">
      <alignment horizontal="right" vertical="top" wrapText="1"/>
    </xf>
    <xf numFmtId="0" fontId="27" fillId="0" borderId="0" xfId="1" applyFont="1" applyFill="1" applyAlignment="1">
      <alignment horizontal="right" vertical="top"/>
    </xf>
    <xf numFmtId="0" fontId="3" fillId="13" borderId="17" xfId="0" applyFont="1" applyFill="1" applyBorder="1" applyAlignment="1">
      <alignment vertical="top" wrapText="1"/>
    </xf>
    <xf numFmtId="0" fontId="3" fillId="11" borderId="25" xfId="0" applyFont="1" applyFill="1" applyBorder="1" applyAlignment="1">
      <alignment vertical="top" wrapText="1"/>
    </xf>
    <xf numFmtId="0" fontId="4" fillId="11" borderId="26" xfId="0" applyFont="1" applyFill="1" applyBorder="1" applyAlignment="1">
      <alignment vertical="top" wrapText="1"/>
    </xf>
    <xf numFmtId="0" fontId="4" fillId="0" borderId="0" xfId="0" applyFont="1" applyAlignment="1">
      <alignment horizontal="right" vertical="top" wrapText="1"/>
    </xf>
    <xf numFmtId="0" fontId="3" fillId="11" borderId="5" xfId="1" applyFont="1" applyFill="1" applyBorder="1" applyAlignment="1">
      <alignment horizontal="right" vertical="top" wrapText="1"/>
    </xf>
    <xf numFmtId="0" fontId="3" fillId="11" borderId="1" xfId="1" applyFont="1" applyFill="1" applyBorder="1" applyAlignment="1">
      <alignment horizontal="right" vertical="top" wrapText="1"/>
    </xf>
    <xf numFmtId="0" fontId="3" fillId="14" borderId="14" xfId="1" applyFont="1" applyFill="1" applyBorder="1" applyAlignment="1">
      <alignment horizontal="right" vertical="top" wrapText="1"/>
    </xf>
    <xf numFmtId="0" fontId="3" fillId="14" borderId="11" xfId="1" applyFont="1" applyFill="1" applyBorder="1" applyAlignment="1">
      <alignment horizontal="right" vertical="top" wrapText="1"/>
    </xf>
    <xf numFmtId="0" fontId="3" fillId="0" borderId="14" xfId="1" applyFont="1" applyFill="1" applyBorder="1" applyAlignment="1">
      <alignment horizontal="center" vertical="center"/>
    </xf>
    <xf numFmtId="0" fontId="3" fillId="0" borderId="30" xfId="1" applyFont="1" applyFill="1" applyBorder="1" applyAlignment="1">
      <alignment horizontal="right" vertical="top" wrapText="1" readingOrder="2"/>
    </xf>
    <xf numFmtId="0" fontId="3" fillId="0" borderId="31" xfId="1" applyFont="1" applyFill="1" applyBorder="1" applyAlignment="1">
      <alignment horizontal="right" vertical="top" wrapText="1" readingOrder="2"/>
    </xf>
    <xf numFmtId="0" fontId="3" fillId="0" borderId="32" xfId="1" applyFont="1" applyFill="1" applyBorder="1" applyAlignment="1">
      <alignment horizontal="right" vertical="top" wrapText="1" readingOrder="2"/>
    </xf>
    <xf numFmtId="0" fontId="3" fillId="0" borderId="27" xfId="1" applyFont="1" applyFill="1" applyBorder="1" applyAlignment="1">
      <alignment horizontal="center" vertical="center" wrapText="1" readingOrder="2"/>
    </xf>
    <xf numFmtId="0" fontId="3" fillId="0" borderId="28" xfId="1" applyFont="1" applyFill="1" applyBorder="1" applyAlignment="1">
      <alignment horizontal="center" vertical="center" wrapText="1" readingOrder="2"/>
    </xf>
    <xf numFmtId="0" fontId="3" fillId="0" borderId="29" xfId="1" applyFont="1" applyFill="1" applyBorder="1" applyAlignment="1">
      <alignment horizontal="center" vertical="center" wrapText="1" readingOrder="2"/>
    </xf>
    <xf numFmtId="0" fontId="3" fillId="0" borderId="30" xfId="1" applyFont="1" applyFill="1" applyBorder="1" applyAlignment="1">
      <alignment vertical="top" wrapText="1"/>
    </xf>
    <xf numFmtId="0" fontId="3" fillId="0" borderId="8" xfId="1" applyFont="1" applyFill="1" applyBorder="1" applyAlignment="1">
      <alignment horizontal="center" vertical="center"/>
    </xf>
    <xf numFmtId="0" fontId="3" fillId="14" borderId="11" xfId="1" applyFont="1" applyFill="1" applyBorder="1" applyAlignment="1">
      <alignment vertical="top" wrapText="1"/>
    </xf>
    <xf numFmtId="0" fontId="3" fillId="14" borderId="7" xfId="1" applyFont="1" applyFill="1" applyBorder="1" applyAlignment="1">
      <alignment vertical="top" wrapText="1"/>
    </xf>
    <xf numFmtId="0" fontId="33" fillId="14" borderId="14" xfId="1" applyFont="1" applyFill="1" applyBorder="1" applyAlignment="1">
      <alignment horizontal="right" vertical="top" wrapText="1"/>
    </xf>
    <xf numFmtId="0" fontId="3" fillId="0" borderId="10" xfId="1" applyFont="1" applyFill="1" applyBorder="1" applyAlignment="1">
      <alignment horizontal="center" vertical="center"/>
    </xf>
    <xf numFmtId="0" fontId="3" fillId="0" borderId="31" xfId="1" applyFont="1" applyFill="1" applyBorder="1" applyAlignment="1">
      <alignment horizontal="center" vertical="top" wrapText="1"/>
    </xf>
    <xf numFmtId="0" fontId="3" fillId="11" borderId="17" xfId="0" applyFont="1" applyFill="1" applyBorder="1" applyAlignment="1">
      <alignment vertical="top" wrapText="1"/>
    </xf>
    <xf numFmtId="0" fontId="3" fillId="0" borderId="36" xfId="1" applyFont="1" applyFill="1" applyBorder="1" applyAlignment="1">
      <alignment horizontal="right" vertical="top" wrapText="1" readingOrder="2"/>
    </xf>
    <xf numFmtId="0" fontId="4" fillId="0" borderId="19" xfId="1" applyFont="1" applyFill="1" applyBorder="1" applyAlignment="1">
      <alignment horizontal="center" vertical="center" textRotation="90" wrapText="1"/>
    </xf>
    <xf numFmtId="0" fontId="3" fillId="0" borderId="37" xfId="1" applyFont="1" applyFill="1" applyBorder="1" applyAlignment="1">
      <alignment horizontal="center" vertical="center" wrapText="1" readingOrder="2"/>
    </xf>
    <xf numFmtId="0" fontId="4" fillId="0" borderId="19" xfId="1" applyFont="1" applyFill="1" applyBorder="1" applyAlignment="1">
      <alignment horizontal="center" vertical="center" textRotation="90" wrapText="1" readingOrder="2"/>
    </xf>
    <xf numFmtId="0" fontId="4" fillId="0" borderId="30" xfId="1" applyFont="1" applyFill="1" applyBorder="1" applyAlignment="1">
      <alignment horizontal="right" vertical="top" wrapText="1" readingOrder="2"/>
    </xf>
    <xf numFmtId="0" fontId="4" fillId="0" borderId="31" xfId="1" applyFont="1" applyFill="1" applyBorder="1" applyAlignment="1">
      <alignment horizontal="right" vertical="top" wrapText="1" readingOrder="2"/>
    </xf>
    <xf numFmtId="0" fontId="6" fillId="0" borderId="30" xfId="1" applyFont="1" applyFill="1" applyBorder="1" applyAlignment="1" applyProtection="1">
      <alignment horizontal="right" vertical="top" wrapText="1" readingOrder="2"/>
      <protection locked="0"/>
    </xf>
    <xf numFmtId="0" fontId="3" fillId="0" borderId="4" xfId="1" applyFont="1" applyFill="1" applyBorder="1" applyAlignment="1">
      <alignment horizontal="center" vertical="center" wrapText="1"/>
    </xf>
    <xf numFmtId="0" fontId="4" fillId="12" borderId="16" xfId="0" applyFont="1" applyFill="1" applyBorder="1" applyAlignment="1">
      <alignment vertical="top" wrapText="1"/>
    </xf>
    <xf numFmtId="0" fontId="3" fillId="12" borderId="16" xfId="0" applyFont="1" applyFill="1" applyBorder="1" applyAlignment="1">
      <alignment vertical="top" wrapText="1"/>
    </xf>
    <xf numFmtId="0" fontId="3" fillId="0" borderId="10" xfId="1" applyFont="1" applyFill="1" applyBorder="1" applyAlignment="1">
      <alignment horizontal="center" vertical="center" wrapText="1" readingOrder="2"/>
    </xf>
    <xf numFmtId="0" fontId="11" fillId="0" borderId="13" xfId="1" applyFont="1" applyFill="1" applyBorder="1" applyAlignment="1">
      <alignment horizontal="center" vertical="center" wrapText="1"/>
    </xf>
    <xf numFmtId="0" fontId="11" fillId="0" borderId="12" xfId="1" applyFont="1" applyFill="1" applyBorder="1" applyAlignment="1">
      <alignment horizontal="right" vertical="top" wrapText="1"/>
    </xf>
    <xf numFmtId="0" fontId="3" fillId="0" borderId="11" xfId="1" applyFont="1" applyFill="1" applyBorder="1" applyAlignment="1">
      <alignment horizontal="right" vertical="top" wrapText="1" readingOrder="2"/>
    </xf>
    <xf numFmtId="0" fontId="3" fillId="0" borderId="7" xfId="1" applyFont="1" applyFill="1" applyBorder="1" applyAlignment="1">
      <alignment horizontal="right" vertical="top" wrapText="1" readingOrder="2"/>
    </xf>
    <xf numFmtId="0" fontId="11" fillId="0" borderId="31" xfId="1" applyFont="1" applyFill="1" applyBorder="1" applyAlignment="1">
      <alignment horizontal="right" vertical="top" wrapText="1" readingOrder="2"/>
    </xf>
    <xf numFmtId="0" fontId="3" fillId="14" borderId="14" xfId="1" applyFont="1" applyFill="1" applyBorder="1" applyAlignment="1">
      <alignment horizontal="center" vertical="center" wrapText="1"/>
    </xf>
    <xf numFmtId="0" fontId="11" fillId="0" borderId="28" xfId="1" applyFont="1" applyFill="1" applyBorder="1" applyAlignment="1">
      <alignment horizontal="center" vertical="center" wrapText="1" readingOrder="2"/>
    </xf>
    <xf numFmtId="0" fontId="6" fillId="14" borderId="32" xfId="1" applyFont="1" applyFill="1" applyBorder="1" applyAlignment="1" applyProtection="1">
      <alignment horizontal="right" vertical="top" wrapText="1" readingOrder="2"/>
      <protection locked="0"/>
    </xf>
    <xf numFmtId="0" fontId="4" fillId="14" borderId="0" xfId="0" applyFont="1" applyFill="1" applyAlignment="1">
      <alignment horizontal="center" vertical="center" wrapText="1"/>
    </xf>
    <xf numFmtId="0" fontId="14" fillId="14" borderId="0" xfId="0" applyFont="1" applyFill="1" applyAlignment="1">
      <alignment horizontal="center" vertical="center" wrapText="1"/>
    </xf>
    <xf numFmtId="0" fontId="3" fillId="2" borderId="14" xfId="1" applyFont="1" applyFill="1" applyBorder="1" applyAlignment="1">
      <alignment horizontal="center" vertical="center"/>
    </xf>
    <xf numFmtId="0" fontId="14" fillId="14" borderId="38" xfId="0" applyFont="1" applyFill="1" applyBorder="1" applyAlignment="1" applyProtection="1">
      <alignment horizontal="center" vertical="center" wrapText="1"/>
      <protection locked="0"/>
    </xf>
    <xf numFmtId="0" fontId="4" fillId="0" borderId="16" xfId="1" applyFont="1" applyFill="1" applyBorder="1" applyAlignment="1">
      <alignment horizontal="center" vertical="center" textRotation="90" wrapText="1"/>
    </xf>
    <xf numFmtId="0" fontId="4" fillId="0" borderId="17" xfId="1" applyFont="1" applyFill="1" applyBorder="1" applyAlignment="1">
      <alignment horizontal="center" vertical="center" textRotation="90" wrapText="1"/>
    </xf>
    <xf numFmtId="0" fontId="4" fillId="0" borderId="26" xfId="1" applyFont="1" applyFill="1" applyBorder="1" applyAlignment="1">
      <alignment horizontal="center" vertical="center" textRotation="90" wrapText="1"/>
    </xf>
    <xf numFmtId="0" fontId="3" fillId="0" borderId="0" xfId="1" applyFont="1" applyFill="1" applyAlignment="1" applyProtection="1">
      <alignment horizontal="center" vertical="top"/>
      <protection locked="0"/>
    </xf>
    <xf numFmtId="0" fontId="3" fillId="0" borderId="21" xfId="1" applyFont="1" applyFill="1" applyBorder="1" applyAlignment="1">
      <alignment horizontal="center" vertical="top" wrapText="1" readingOrder="2"/>
    </xf>
    <xf numFmtId="0" fontId="3" fillId="0" borderId="23" xfId="1" applyFont="1" applyFill="1" applyBorder="1" applyAlignment="1">
      <alignment horizontal="center" vertical="top" wrapText="1" readingOrder="2"/>
    </xf>
    <xf numFmtId="0" fontId="3" fillId="0" borderId="15" xfId="1" applyFont="1" applyFill="1" applyBorder="1" applyAlignment="1">
      <alignment horizontal="center" vertical="top" wrapText="1" readingOrder="2"/>
    </xf>
    <xf numFmtId="0" fontId="3" fillId="0" borderId="24" xfId="1" applyFont="1" applyFill="1" applyBorder="1" applyAlignment="1">
      <alignment horizontal="center" vertical="top" wrapText="1" readingOrder="2"/>
    </xf>
    <xf numFmtId="0" fontId="3" fillId="0" borderId="22" xfId="1" applyFont="1" applyFill="1" applyBorder="1" applyAlignment="1">
      <alignment horizontal="center" vertical="top" wrapText="1" readingOrder="2"/>
    </xf>
    <xf numFmtId="0" fontId="3" fillId="0" borderId="10" xfId="1" applyFont="1" applyFill="1" applyBorder="1" applyAlignment="1" applyProtection="1">
      <alignment horizontal="center" vertical="center" wrapText="1"/>
      <protection locked="0"/>
    </xf>
    <xf numFmtId="0" fontId="3" fillId="0" borderId="8" xfId="1" applyFont="1" applyFill="1" applyBorder="1" applyAlignment="1" applyProtection="1">
      <alignment horizontal="center" vertical="center" wrapText="1"/>
      <protection locked="0"/>
    </xf>
    <xf numFmtId="0" fontId="3" fillId="14" borderId="10" xfId="1" applyFont="1" applyFill="1" applyBorder="1" applyAlignment="1" applyProtection="1">
      <alignment horizontal="right" vertical="top" wrapText="1"/>
      <protection locked="0"/>
    </xf>
    <xf numFmtId="0" fontId="3" fillId="14" borderId="8" xfId="1" applyFont="1" applyFill="1" applyBorder="1" applyAlignment="1" applyProtection="1">
      <alignment horizontal="right" vertical="top" wrapText="1"/>
      <protection locked="0"/>
    </xf>
    <xf numFmtId="0" fontId="3" fillId="0" borderId="9" xfId="1" applyFont="1" applyFill="1" applyBorder="1" applyAlignment="1">
      <alignment horizontal="center" vertical="top" wrapText="1" readingOrder="2"/>
    </xf>
    <xf numFmtId="0" fontId="3" fillId="0" borderId="7" xfId="1" applyFont="1" applyFill="1" applyBorder="1" applyAlignment="1">
      <alignment horizontal="center" vertical="top" wrapText="1" readingOrder="2"/>
    </xf>
    <xf numFmtId="0" fontId="3" fillId="0" borderId="27" xfId="1" applyFont="1" applyFill="1" applyBorder="1" applyAlignment="1" applyProtection="1">
      <alignment horizontal="center" vertical="center" wrapText="1" readingOrder="2"/>
      <protection locked="0"/>
    </xf>
    <xf numFmtId="0" fontId="3" fillId="0" borderId="29" xfId="1" applyFont="1" applyFill="1" applyBorder="1" applyAlignment="1" applyProtection="1">
      <alignment horizontal="center" vertical="center" wrapText="1" readingOrder="2"/>
      <protection locked="0"/>
    </xf>
    <xf numFmtId="0" fontId="3" fillId="0" borderId="33" xfId="1" applyFont="1" applyFill="1" applyBorder="1" applyAlignment="1">
      <alignment horizontal="center" vertical="center" textRotation="90" wrapText="1"/>
    </xf>
    <xf numFmtId="0" fontId="3" fillId="0" borderId="34" xfId="1" applyFont="1" applyFill="1" applyBorder="1" applyAlignment="1">
      <alignment horizontal="center" vertical="center" textRotation="90" wrapText="1"/>
    </xf>
    <xf numFmtId="0" fontId="3" fillId="0" borderId="35" xfId="1" applyFont="1" applyFill="1" applyBorder="1" applyAlignment="1">
      <alignment horizontal="center" vertical="center" textRotation="90" wrapText="1"/>
    </xf>
    <xf numFmtId="0" fontId="3" fillId="0" borderId="33" xfId="1" applyFont="1" applyFill="1" applyBorder="1" applyAlignment="1">
      <alignment horizontal="center" vertical="center" textRotation="90" wrapText="1" readingOrder="2"/>
    </xf>
    <xf numFmtId="0" fontId="3" fillId="0" borderId="34" xfId="1" applyFont="1" applyFill="1" applyBorder="1" applyAlignment="1">
      <alignment horizontal="center" vertical="center" textRotation="90" wrapText="1" readingOrder="2"/>
    </xf>
    <xf numFmtId="0" fontId="3" fillId="0" borderId="35" xfId="1" applyFont="1" applyFill="1" applyBorder="1" applyAlignment="1">
      <alignment horizontal="center" vertical="center" textRotation="90" wrapText="1" readingOrder="2"/>
    </xf>
    <xf numFmtId="0" fontId="4" fillId="0" borderId="33" xfId="1" applyFont="1" applyFill="1" applyBorder="1" applyAlignment="1">
      <alignment horizontal="center" vertical="center" textRotation="90" wrapText="1"/>
    </xf>
    <xf numFmtId="0" fontId="4" fillId="0" borderId="34" xfId="1" applyFont="1" applyFill="1" applyBorder="1" applyAlignment="1">
      <alignment horizontal="center" vertical="center" textRotation="90" wrapText="1"/>
    </xf>
    <xf numFmtId="0" fontId="4" fillId="0" borderId="35" xfId="1" applyFont="1" applyFill="1" applyBorder="1" applyAlignment="1">
      <alignment horizontal="center" vertical="center" textRotation="90" wrapText="1"/>
    </xf>
    <xf numFmtId="0" fontId="4" fillId="0" borderId="33" xfId="1" applyFont="1" applyFill="1" applyBorder="1" applyAlignment="1" applyProtection="1">
      <alignment horizontal="center" vertical="center" textRotation="90"/>
      <protection locked="0"/>
    </xf>
    <xf numFmtId="0" fontId="4" fillId="0" borderId="35" xfId="1" applyFont="1" applyFill="1" applyBorder="1" applyAlignment="1" applyProtection="1">
      <alignment horizontal="center" vertical="center" textRotation="90"/>
      <protection locked="0"/>
    </xf>
    <xf numFmtId="0" fontId="4" fillId="0" borderId="33" xfId="1" applyFont="1" applyFill="1" applyBorder="1" applyAlignment="1" applyProtection="1">
      <alignment horizontal="center" vertical="center" textRotation="90" wrapText="1" readingOrder="2"/>
      <protection locked="0"/>
    </xf>
    <xf numFmtId="0" fontId="4" fillId="0" borderId="35" xfId="1" applyFont="1" applyFill="1" applyBorder="1" applyAlignment="1" applyProtection="1">
      <alignment horizontal="center" vertical="center" textRotation="90" wrapText="1" readingOrder="2"/>
      <protection locked="0"/>
    </xf>
    <xf numFmtId="0" fontId="14" fillId="2" borderId="0" xfId="0" applyFont="1" applyFill="1" applyBorder="1" applyAlignment="1">
      <alignment horizontal="center" readingOrder="2"/>
    </xf>
    <xf numFmtId="0" fontId="14" fillId="2" borderId="0" xfId="0" applyFont="1" applyFill="1" applyBorder="1" applyAlignment="1">
      <alignment horizontal="center" wrapText="1"/>
    </xf>
  </cellXfs>
  <cellStyles count="4">
    <cellStyle name="Hyperlink 2" xfId="2" xr:uid="{00000000-0005-0000-0000-000000000000}"/>
    <cellStyle name="Normal" xfId="0" builtinId="0"/>
    <cellStyle name="Normal 2" xfId="3" xr:uid="{00000000-0005-0000-0000-000002000000}"/>
    <cellStyle name="Normal 3" xfId="1" xr:uid="{00000000-0005-0000-0000-00000300000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87"/>
  <sheetViews>
    <sheetView rightToLeft="1" tabSelected="1" zoomScale="50" zoomScaleNormal="50" workbookViewId="0">
      <pane ySplit="1" topLeftCell="A12" activePane="bottomLeft" state="frozen"/>
      <selection pane="bottomLeft" activeCell="D14" sqref="D14"/>
    </sheetView>
  </sheetViews>
  <sheetFormatPr defaultColWidth="9" defaultRowHeight="15" x14ac:dyDescent="0.25"/>
  <cols>
    <col min="1" max="2" width="9.5703125" style="109" customWidth="1"/>
    <col min="3" max="3" width="10.42578125" style="1" customWidth="1"/>
    <col min="4" max="4" width="13.140625" style="1" customWidth="1"/>
    <col min="5" max="5" width="21.7109375" style="1" customWidth="1"/>
    <col min="6" max="6" width="16.85546875" style="1" customWidth="1"/>
    <col min="7" max="7" width="15.42578125" style="1" customWidth="1"/>
    <col min="8" max="8" width="71.140625" style="1" customWidth="1"/>
    <col min="9" max="9" width="9.140625" style="1" customWidth="1"/>
    <col min="10" max="10" width="17.85546875" style="1" customWidth="1"/>
    <col min="11" max="11" width="8.7109375" style="1" customWidth="1"/>
    <col min="12" max="12" width="9.140625" style="1" customWidth="1"/>
    <col min="13" max="13" width="75.140625" style="1" customWidth="1"/>
    <col min="14" max="14" width="57.42578125" style="1" customWidth="1"/>
    <col min="15" max="15" width="27.7109375" style="118" customWidth="1"/>
    <col min="16" max="16384" width="9" style="1"/>
  </cols>
  <sheetData>
    <row r="1" spans="1:15" ht="90.75" customHeight="1" thickBot="1" x14ac:dyDescent="0.3">
      <c r="A1" s="105" t="s">
        <v>179</v>
      </c>
      <c r="B1" s="23" t="s">
        <v>228</v>
      </c>
      <c r="C1" s="81" t="s">
        <v>164</v>
      </c>
      <c r="D1" s="81" t="s">
        <v>163</v>
      </c>
      <c r="E1" s="81" t="s">
        <v>162</v>
      </c>
      <c r="F1" s="81" t="s">
        <v>161</v>
      </c>
      <c r="G1" s="81" t="s">
        <v>160</v>
      </c>
      <c r="H1" s="81" t="s">
        <v>159</v>
      </c>
      <c r="I1" s="81" t="s">
        <v>158</v>
      </c>
      <c r="J1" s="81" t="s">
        <v>157</v>
      </c>
      <c r="K1" s="82" t="s">
        <v>156</v>
      </c>
      <c r="L1" s="82" t="s">
        <v>155</v>
      </c>
      <c r="M1" s="83" t="s">
        <v>271</v>
      </c>
      <c r="N1" s="83" t="s">
        <v>248</v>
      </c>
      <c r="O1" s="117" t="s">
        <v>237</v>
      </c>
    </row>
    <row r="2" spans="1:15" ht="30.75" thickBot="1" x14ac:dyDescent="0.3">
      <c r="A2" s="28"/>
      <c r="B2" s="28"/>
      <c r="C2" s="31" t="s">
        <v>154</v>
      </c>
      <c r="D2" s="31" t="s">
        <v>0</v>
      </c>
      <c r="E2" s="31"/>
      <c r="F2" s="31"/>
      <c r="G2" s="31"/>
      <c r="H2" s="31"/>
      <c r="I2" s="31"/>
      <c r="J2" s="31"/>
      <c r="K2" s="45"/>
      <c r="L2" s="45"/>
      <c r="M2" s="46"/>
      <c r="N2" s="46"/>
    </row>
    <row r="3" spans="1:15" ht="60.75" thickBot="1" x14ac:dyDescent="0.3">
      <c r="A3" s="28"/>
      <c r="B3" s="28"/>
      <c r="C3" s="31" t="s">
        <v>153</v>
      </c>
      <c r="D3" s="31" t="s">
        <v>0</v>
      </c>
      <c r="E3" s="31"/>
      <c r="F3" s="31"/>
      <c r="G3" s="31"/>
      <c r="H3" s="31"/>
      <c r="I3" s="31"/>
      <c r="J3" s="31"/>
      <c r="K3" s="45"/>
      <c r="L3" s="45"/>
      <c r="M3" s="94" t="s">
        <v>152</v>
      </c>
      <c r="N3" s="94" t="s">
        <v>152</v>
      </c>
    </row>
    <row r="4" spans="1:15" ht="45" customHeight="1" x14ac:dyDescent="0.25">
      <c r="A4" s="28">
        <v>1</v>
      </c>
      <c r="B4" s="28">
        <v>1</v>
      </c>
      <c r="C4" s="10"/>
      <c r="D4" s="9"/>
      <c r="E4" s="134" t="s">
        <v>151</v>
      </c>
      <c r="F4" s="185" t="s">
        <v>150</v>
      </c>
      <c r="G4" s="188" t="s">
        <v>104</v>
      </c>
      <c r="H4" s="131" t="s">
        <v>149</v>
      </c>
      <c r="I4" s="25">
        <v>1</v>
      </c>
      <c r="J4" s="25" t="s">
        <v>148</v>
      </c>
      <c r="K4" s="25" t="s">
        <v>14</v>
      </c>
      <c r="L4" s="25">
        <v>2</v>
      </c>
      <c r="M4" s="38" t="s">
        <v>147</v>
      </c>
      <c r="N4" s="24" t="s">
        <v>147</v>
      </c>
    </row>
    <row r="5" spans="1:15" ht="74.25" customHeight="1" x14ac:dyDescent="0.25">
      <c r="A5" s="28">
        <v>2</v>
      </c>
      <c r="B5" s="28">
        <v>2</v>
      </c>
      <c r="C5" s="10"/>
      <c r="D5" s="9"/>
      <c r="E5" s="135" t="s">
        <v>146</v>
      </c>
      <c r="F5" s="186"/>
      <c r="G5" s="189"/>
      <c r="H5" s="132" t="s">
        <v>145</v>
      </c>
      <c r="I5" s="23">
        <v>1</v>
      </c>
      <c r="J5" s="23" t="s">
        <v>144</v>
      </c>
      <c r="K5" s="23" t="s">
        <v>8</v>
      </c>
      <c r="L5" s="166">
        <v>3</v>
      </c>
      <c r="M5" s="128" t="s">
        <v>284</v>
      </c>
      <c r="N5" s="128" t="s">
        <v>284</v>
      </c>
      <c r="O5" s="164" t="s">
        <v>226</v>
      </c>
    </row>
    <row r="6" spans="1:15" ht="45" x14ac:dyDescent="0.25">
      <c r="A6" s="28">
        <v>3</v>
      </c>
      <c r="B6" s="28">
        <v>3</v>
      </c>
      <c r="C6" s="10"/>
      <c r="D6" s="9"/>
      <c r="E6" s="135" t="s">
        <v>143</v>
      </c>
      <c r="F6" s="186"/>
      <c r="G6" s="189"/>
      <c r="H6" s="132"/>
      <c r="I6" s="23">
        <v>1</v>
      </c>
      <c r="J6" s="23" t="s">
        <v>142</v>
      </c>
      <c r="K6" s="23" t="s">
        <v>8</v>
      </c>
      <c r="L6" s="23">
        <v>14</v>
      </c>
      <c r="M6" s="37" t="s">
        <v>141</v>
      </c>
      <c r="N6" s="36" t="s">
        <v>141</v>
      </c>
    </row>
    <row r="7" spans="1:15" ht="61.9" customHeight="1" x14ac:dyDescent="0.25">
      <c r="A7" s="28">
        <v>4</v>
      </c>
      <c r="B7" s="28">
        <v>4</v>
      </c>
      <c r="C7" s="10"/>
      <c r="D7" s="9"/>
      <c r="E7" s="135" t="s">
        <v>140</v>
      </c>
      <c r="F7" s="186"/>
      <c r="G7" s="189"/>
      <c r="H7" s="132" t="s">
        <v>139</v>
      </c>
      <c r="I7" s="23">
        <v>1</v>
      </c>
      <c r="J7" s="23" t="s">
        <v>138</v>
      </c>
      <c r="K7" s="23" t="s">
        <v>14</v>
      </c>
      <c r="L7" s="23">
        <v>1</v>
      </c>
      <c r="M7" s="37" t="s">
        <v>137</v>
      </c>
      <c r="N7" s="36" t="s">
        <v>137</v>
      </c>
    </row>
    <row r="8" spans="1:15" ht="111.6" customHeight="1" x14ac:dyDescent="0.25">
      <c r="A8" s="28">
        <v>5</v>
      </c>
      <c r="B8" s="28">
        <v>5</v>
      </c>
      <c r="C8" s="44"/>
      <c r="D8" s="9"/>
      <c r="E8" s="135" t="s">
        <v>136</v>
      </c>
      <c r="F8" s="186"/>
      <c r="G8" s="189"/>
      <c r="H8" s="132" t="s">
        <v>135</v>
      </c>
      <c r="I8" s="23">
        <v>1</v>
      </c>
      <c r="J8" s="23" t="s">
        <v>48</v>
      </c>
      <c r="K8" s="23" t="s">
        <v>8</v>
      </c>
      <c r="L8" s="23">
        <v>34</v>
      </c>
      <c r="M8" s="37" t="s">
        <v>134</v>
      </c>
      <c r="N8" s="36" t="s">
        <v>134</v>
      </c>
    </row>
    <row r="9" spans="1:15" ht="79.5" customHeight="1" thickBot="1" x14ac:dyDescent="0.3">
      <c r="A9" s="28">
        <v>6</v>
      </c>
      <c r="B9" s="28">
        <v>6</v>
      </c>
      <c r="C9" s="44"/>
      <c r="D9" s="9"/>
      <c r="E9" s="136" t="s">
        <v>133</v>
      </c>
      <c r="F9" s="187"/>
      <c r="G9" s="190"/>
      <c r="H9" s="133"/>
      <c r="I9" s="22">
        <v>3</v>
      </c>
      <c r="J9" s="22" t="s">
        <v>132</v>
      </c>
      <c r="K9" s="22" t="s">
        <v>14</v>
      </c>
      <c r="L9" s="22">
        <v>4</v>
      </c>
      <c r="M9" s="103" t="s">
        <v>131</v>
      </c>
      <c r="N9" s="21" t="s">
        <v>131</v>
      </c>
    </row>
    <row r="10" spans="1:15" ht="82.15" customHeight="1" thickBot="1" x14ac:dyDescent="0.3">
      <c r="A10" s="28"/>
      <c r="B10" s="28"/>
      <c r="C10" s="31" t="s">
        <v>130</v>
      </c>
      <c r="D10" s="31" t="s">
        <v>0</v>
      </c>
      <c r="E10" s="6"/>
      <c r="F10" s="32"/>
      <c r="G10" s="9"/>
      <c r="H10" s="6"/>
      <c r="I10" s="5"/>
      <c r="J10" s="39"/>
      <c r="K10" s="43"/>
      <c r="L10" s="11"/>
      <c r="M10" s="95" t="s">
        <v>129</v>
      </c>
      <c r="N10" s="95" t="s">
        <v>129</v>
      </c>
    </row>
    <row r="11" spans="1:15" ht="135.6" customHeight="1" x14ac:dyDescent="0.25">
      <c r="A11" s="28">
        <v>7</v>
      </c>
      <c r="B11" s="28">
        <v>7</v>
      </c>
      <c r="C11" s="10"/>
      <c r="D11" s="9"/>
      <c r="E11" s="134" t="s">
        <v>128</v>
      </c>
      <c r="F11" s="191" t="s">
        <v>104</v>
      </c>
      <c r="G11" s="191" t="s">
        <v>127</v>
      </c>
      <c r="H11" s="137" t="s">
        <v>202</v>
      </c>
      <c r="I11" s="25">
        <v>1</v>
      </c>
      <c r="J11" s="25" t="s">
        <v>126</v>
      </c>
      <c r="K11" s="25" t="s">
        <v>14</v>
      </c>
      <c r="L11" s="25">
        <v>1</v>
      </c>
      <c r="M11" s="38" t="s">
        <v>85</v>
      </c>
      <c r="N11" s="24" t="s">
        <v>214</v>
      </c>
    </row>
    <row r="12" spans="1:15" ht="234" customHeight="1" x14ac:dyDescent="0.25">
      <c r="A12" s="28">
        <v>8</v>
      </c>
      <c r="B12" s="28">
        <v>8</v>
      </c>
      <c r="C12" s="10"/>
      <c r="D12" s="9"/>
      <c r="E12" s="135" t="s">
        <v>125</v>
      </c>
      <c r="F12" s="192"/>
      <c r="G12" s="192"/>
      <c r="H12" s="132" t="s">
        <v>196</v>
      </c>
      <c r="I12" s="23">
        <v>1</v>
      </c>
      <c r="J12" s="23" t="s">
        <v>124</v>
      </c>
      <c r="K12" s="23" t="s">
        <v>14</v>
      </c>
      <c r="L12" s="23">
        <v>2</v>
      </c>
      <c r="M12" s="37" t="s">
        <v>85</v>
      </c>
      <c r="N12" s="36" t="s">
        <v>85</v>
      </c>
    </row>
    <row r="13" spans="1:15" ht="60" customHeight="1" x14ac:dyDescent="0.25">
      <c r="A13" s="28">
        <v>9</v>
      </c>
      <c r="B13" s="28">
        <v>9</v>
      </c>
      <c r="C13" s="10"/>
      <c r="D13" s="9"/>
      <c r="E13" s="135" t="s">
        <v>123</v>
      </c>
      <c r="F13" s="192"/>
      <c r="G13" s="192"/>
      <c r="H13" s="132"/>
      <c r="I13" s="23">
        <v>1</v>
      </c>
      <c r="J13" s="23" t="s">
        <v>122</v>
      </c>
      <c r="K13" s="130" t="s">
        <v>8</v>
      </c>
      <c r="L13" s="130">
        <v>16</v>
      </c>
      <c r="M13" s="37" t="s">
        <v>95</v>
      </c>
      <c r="N13" s="36" t="s">
        <v>94</v>
      </c>
    </row>
    <row r="14" spans="1:15" s="2" customFormat="1" ht="60" customHeight="1" x14ac:dyDescent="0.25">
      <c r="A14" s="28">
        <v>10</v>
      </c>
      <c r="B14" s="28">
        <v>10</v>
      </c>
      <c r="C14" s="10"/>
      <c r="D14" s="9"/>
      <c r="E14" s="135" t="s">
        <v>121</v>
      </c>
      <c r="F14" s="192"/>
      <c r="G14" s="192"/>
      <c r="H14" s="132"/>
      <c r="I14" s="23">
        <v>1</v>
      </c>
      <c r="J14" s="23" t="s">
        <v>120</v>
      </c>
      <c r="K14" s="130" t="s">
        <v>8</v>
      </c>
      <c r="L14" s="130">
        <v>100</v>
      </c>
      <c r="M14" s="141" t="s">
        <v>262</v>
      </c>
      <c r="N14" s="141" t="s">
        <v>262</v>
      </c>
      <c r="O14" s="164" t="s">
        <v>278</v>
      </c>
    </row>
    <row r="15" spans="1:15" ht="60" customHeight="1" x14ac:dyDescent="0.25">
      <c r="A15" s="28">
        <v>11</v>
      </c>
      <c r="B15" s="28">
        <v>11</v>
      </c>
      <c r="C15" s="10"/>
      <c r="D15" s="9"/>
      <c r="E15" s="135" t="s">
        <v>119</v>
      </c>
      <c r="F15" s="192"/>
      <c r="G15" s="192"/>
      <c r="H15" s="132"/>
      <c r="I15" s="23">
        <v>1</v>
      </c>
      <c r="J15" s="23" t="s">
        <v>118</v>
      </c>
      <c r="K15" s="130" t="s">
        <v>8</v>
      </c>
      <c r="L15" s="130">
        <v>20</v>
      </c>
      <c r="M15" s="141" t="s">
        <v>262</v>
      </c>
      <c r="N15" s="141" t="s">
        <v>262</v>
      </c>
      <c r="O15" s="164" t="s">
        <v>278</v>
      </c>
    </row>
    <row r="16" spans="1:15" ht="60" customHeight="1" x14ac:dyDescent="0.25">
      <c r="A16" s="28">
        <v>12</v>
      </c>
      <c r="B16" s="28">
        <v>12</v>
      </c>
      <c r="C16" s="10"/>
      <c r="D16" s="9"/>
      <c r="E16" s="135" t="s">
        <v>117</v>
      </c>
      <c r="F16" s="192"/>
      <c r="G16" s="192"/>
      <c r="H16" s="132"/>
      <c r="I16" s="23">
        <v>1</v>
      </c>
      <c r="J16" s="23" t="s">
        <v>116</v>
      </c>
      <c r="K16" s="130" t="s">
        <v>8</v>
      </c>
      <c r="L16" s="130">
        <v>20</v>
      </c>
      <c r="M16" s="37" t="s">
        <v>113</v>
      </c>
      <c r="N16" s="36" t="s">
        <v>113</v>
      </c>
    </row>
    <row r="17" spans="1:15" ht="60" customHeight="1" x14ac:dyDescent="0.25">
      <c r="A17" s="28">
        <v>13</v>
      </c>
      <c r="B17" s="28">
        <v>13</v>
      </c>
      <c r="C17" s="10"/>
      <c r="D17" s="9"/>
      <c r="E17" s="135" t="s">
        <v>115</v>
      </c>
      <c r="F17" s="192"/>
      <c r="G17" s="192"/>
      <c r="H17" s="132"/>
      <c r="I17" s="23">
        <v>1</v>
      </c>
      <c r="J17" s="23" t="s">
        <v>114</v>
      </c>
      <c r="K17" s="23" t="s">
        <v>8</v>
      </c>
      <c r="L17" s="23">
        <v>11</v>
      </c>
      <c r="M17" s="129" t="s">
        <v>263</v>
      </c>
      <c r="N17" s="129" t="s">
        <v>263</v>
      </c>
      <c r="O17" s="164" t="s">
        <v>278</v>
      </c>
    </row>
    <row r="18" spans="1:15" ht="60" customHeight="1" x14ac:dyDescent="0.25">
      <c r="A18" s="28">
        <v>14</v>
      </c>
      <c r="B18" s="28">
        <v>14</v>
      </c>
      <c r="C18" s="119"/>
      <c r="D18" s="9"/>
      <c r="E18" s="135" t="s">
        <v>112</v>
      </c>
      <c r="F18" s="192"/>
      <c r="G18" s="192"/>
      <c r="H18" s="132"/>
      <c r="I18" s="23">
        <v>1</v>
      </c>
      <c r="J18" s="23" t="s">
        <v>111</v>
      </c>
      <c r="K18" s="130" t="s">
        <v>8</v>
      </c>
      <c r="L18" s="130">
        <v>50</v>
      </c>
      <c r="M18" s="139" t="s">
        <v>264</v>
      </c>
      <c r="N18" s="139" t="s">
        <v>264</v>
      </c>
      <c r="O18" s="164" t="s">
        <v>279</v>
      </c>
    </row>
    <row r="19" spans="1:15" ht="60" customHeight="1" thickBot="1" x14ac:dyDescent="0.3">
      <c r="A19" s="28">
        <v>15</v>
      </c>
      <c r="B19" s="28">
        <v>15</v>
      </c>
      <c r="C19" s="10"/>
      <c r="D19" s="9"/>
      <c r="E19" s="135" t="s">
        <v>110</v>
      </c>
      <c r="F19" s="192"/>
      <c r="G19" s="192"/>
      <c r="H19" s="132"/>
      <c r="I19" s="23">
        <v>3</v>
      </c>
      <c r="J19" s="23" t="s">
        <v>109</v>
      </c>
      <c r="K19" s="130" t="s">
        <v>8</v>
      </c>
      <c r="L19" s="130">
        <v>15</v>
      </c>
      <c r="M19" s="140" t="s">
        <v>265</v>
      </c>
      <c r="N19" s="140" t="s">
        <v>265</v>
      </c>
      <c r="O19" s="164" t="s">
        <v>278</v>
      </c>
    </row>
    <row r="20" spans="1:15" s="110" customFormat="1" ht="55.5" customHeight="1" thickBot="1" x14ac:dyDescent="0.3">
      <c r="A20" s="106">
        <f>A19+1</f>
        <v>16</v>
      </c>
      <c r="B20" s="106">
        <f>B19+1</f>
        <v>16</v>
      </c>
      <c r="C20" s="104"/>
      <c r="D20" s="9"/>
      <c r="E20" s="136" t="s">
        <v>184</v>
      </c>
      <c r="F20" s="193"/>
      <c r="G20" s="193"/>
      <c r="H20" s="133" t="s">
        <v>185</v>
      </c>
      <c r="I20" s="22">
        <v>3</v>
      </c>
      <c r="J20" s="22" t="s">
        <v>96</v>
      </c>
      <c r="K20" s="138" t="s">
        <v>8</v>
      </c>
      <c r="L20" s="138">
        <v>16</v>
      </c>
      <c r="M20" s="103" t="s">
        <v>195</v>
      </c>
      <c r="N20" s="21" t="s">
        <v>195</v>
      </c>
      <c r="O20" s="121"/>
    </row>
    <row r="21" spans="1:15" ht="60.75" thickBot="1" x14ac:dyDescent="0.3">
      <c r="A21" s="28"/>
      <c r="B21" s="28"/>
      <c r="C21" s="31" t="s">
        <v>108</v>
      </c>
      <c r="D21" s="31" t="s">
        <v>0</v>
      </c>
      <c r="E21" s="6"/>
      <c r="F21" s="8"/>
      <c r="G21" s="8"/>
      <c r="H21" s="4"/>
      <c r="I21" s="5"/>
      <c r="J21" s="4"/>
      <c r="K21" s="15"/>
      <c r="L21" s="14"/>
      <c r="M21" s="14"/>
      <c r="N21" s="14"/>
    </row>
    <row r="22" spans="1:15" ht="105.75" thickBot="1" x14ac:dyDescent="0.3">
      <c r="A22" s="28"/>
      <c r="B22" s="28"/>
      <c r="C22" s="31" t="s">
        <v>107</v>
      </c>
      <c r="D22" s="31" t="s">
        <v>0</v>
      </c>
      <c r="E22" s="6"/>
      <c r="F22" s="8"/>
      <c r="G22" s="7"/>
      <c r="H22" s="6"/>
      <c r="I22" s="5"/>
      <c r="J22" s="4"/>
      <c r="K22" s="15"/>
      <c r="L22" s="11"/>
      <c r="M22" s="94" t="s">
        <v>106</v>
      </c>
      <c r="N22" s="94" t="s">
        <v>106</v>
      </c>
    </row>
    <row r="23" spans="1:15" ht="135.4" customHeight="1" x14ac:dyDescent="0.25">
      <c r="A23" s="28">
        <f>A20+1</f>
        <v>17</v>
      </c>
      <c r="B23" s="28">
        <f>B20+1</f>
        <v>17</v>
      </c>
      <c r="C23" s="10"/>
      <c r="D23" s="9"/>
      <c r="E23" s="134" t="s">
        <v>105</v>
      </c>
      <c r="F23" s="191" t="s">
        <v>104</v>
      </c>
      <c r="G23" s="191" t="s">
        <v>103</v>
      </c>
      <c r="H23" s="137" t="s">
        <v>202</v>
      </c>
      <c r="I23" s="25">
        <v>1</v>
      </c>
      <c r="J23" s="25" t="s">
        <v>102</v>
      </c>
      <c r="K23" s="25" t="s">
        <v>14</v>
      </c>
      <c r="L23" s="25">
        <v>1</v>
      </c>
      <c r="M23" s="38" t="s">
        <v>85</v>
      </c>
      <c r="N23" s="24" t="s">
        <v>203</v>
      </c>
    </row>
    <row r="24" spans="1:15" ht="233.25" customHeight="1" x14ac:dyDescent="0.25">
      <c r="A24" s="28">
        <f>A23+1</f>
        <v>18</v>
      </c>
      <c r="B24" s="28">
        <f>B23+1</f>
        <v>18</v>
      </c>
      <c r="C24" s="10"/>
      <c r="D24" s="9"/>
      <c r="E24" s="135" t="s">
        <v>101</v>
      </c>
      <c r="F24" s="192"/>
      <c r="G24" s="192"/>
      <c r="H24" s="132" t="s">
        <v>196</v>
      </c>
      <c r="I24" s="23">
        <v>1</v>
      </c>
      <c r="J24" s="23" t="s">
        <v>100</v>
      </c>
      <c r="K24" s="23" t="s">
        <v>14</v>
      </c>
      <c r="L24" s="23">
        <v>2</v>
      </c>
      <c r="M24" s="37" t="s">
        <v>85</v>
      </c>
      <c r="N24" s="36" t="s">
        <v>85</v>
      </c>
    </row>
    <row r="25" spans="1:15" ht="30" x14ac:dyDescent="0.25">
      <c r="A25" s="28">
        <f t="shared" ref="A25:B26" si="0">A24+1</f>
        <v>19</v>
      </c>
      <c r="B25" s="28">
        <f t="shared" si="0"/>
        <v>19</v>
      </c>
      <c r="C25" s="10"/>
      <c r="D25" s="9"/>
      <c r="E25" s="135" t="s">
        <v>99</v>
      </c>
      <c r="F25" s="192"/>
      <c r="G25" s="192"/>
      <c r="H25" s="132"/>
      <c r="I25" s="23">
        <v>1</v>
      </c>
      <c r="J25" s="23" t="s">
        <v>98</v>
      </c>
      <c r="K25" s="130" t="s">
        <v>8</v>
      </c>
      <c r="L25" s="130">
        <v>16</v>
      </c>
      <c r="M25" s="37" t="s">
        <v>95</v>
      </c>
      <c r="N25" s="36" t="s">
        <v>94</v>
      </c>
    </row>
    <row r="26" spans="1:15" ht="60.75" thickBot="1" x14ac:dyDescent="0.3">
      <c r="A26" s="28">
        <f t="shared" si="0"/>
        <v>20</v>
      </c>
      <c r="B26" s="28">
        <f t="shared" si="0"/>
        <v>20</v>
      </c>
      <c r="C26" s="10"/>
      <c r="D26" s="9"/>
      <c r="E26" s="136" t="s">
        <v>97</v>
      </c>
      <c r="F26" s="193"/>
      <c r="G26" s="193"/>
      <c r="H26" s="133"/>
      <c r="I26" s="22">
        <v>3</v>
      </c>
      <c r="J26" s="22" t="s">
        <v>96</v>
      </c>
      <c r="K26" s="138" t="s">
        <v>8</v>
      </c>
      <c r="L26" s="138">
        <v>16</v>
      </c>
      <c r="M26" s="103" t="s">
        <v>95</v>
      </c>
      <c r="N26" s="21" t="s">
        <v>94</v>
      </c>
    </row>
    <row r="27" spans="1:15" ht="60" x14ac:dyDescent="0.25">
      <c r="A27" s="28"/>
      <c r="B27" s="28"/>
      <c r="C27" s="31" t="s">
        <v>93</v>
      </c>
      <c r="D27" s="31" t="s">
        <v>0</v>
      </c>
      <c r="E27" s="6"/>
      <c r="F27" s="8"/>
      <c r="G27" s="8"/>
      <c r="H27" s="4"/>
      <c r="I27" s="5"/>
      <c r="J27" s="4"/>
      <c r="K27" s="15"/>
      <c r="L27" s="14"/>
      <c r="M27" s="14"/>
      <c r="N27" s="14"/>
    </row>
    <row r="28" spans="1:15" ht="45" x14ac:dyDescent="0.3">
      <c r="A28" s="28"/>
      <c r="B28" s="28"/>
      <c r="C28" s="31" t="s">
        <v>92</v>
      </c>
      <c r="D28" s="31" t="s">
        <v>0</v>
      </c>
      <c r="E28" s="6"/>
      <c r="F28" s="32"/>
      <c r="G28" s="42"/>
      <c r="H28" s="15"/>
      <c r="I28" s="41"/>
      <c r="J28" s="39"/>
      <c r="K28" s="43"/>
      <c r="L28" s="14"/>
      <c r="M28" s="14"/>
      <c r="N28" s="14"/>
    </row>
    <row r="29" spans="1:15" ht="45.75" thickBot="1" x14ac:dyDescent="0.35">
      <c r="A29" s="28"/>
      <c r="B29" s="28"/>
      <c r="C29" s="31" t="s">
        <v>91</v>
      </c>
      <c r="D29" s="31" t="s">
        <v>0</v>
      </c>
      <c r="E29" s="6"/>
      <c r="F29" s="32"/>
      <c r="G29" s="42"/>
      <c r="H29" s="15"/>
      <c r="I29" s="41"/>
      <c r="J29" s="39"/>
      <c r="K29" s="43"/>
      <c r="L29" s="14"/>
      <c r="M29" s="14"/>
      <c r="N29" s="14"/>
    </row>
    <row r="30" spans="1:15" ht="85.9" customHeight="1" thickBot="1" x14ac:dyDescent="0.35">
      <c r="A30" s="28"/>
      <c r="B30" s="28"/>
      <c r="C30" s="31" t="s">
        <v>90</v>
      </c>
      <c r="D30" s="31" t="s">
        <v>3</v>
      </c>
      <c r="E30" s="6"/>
      <c r="F30" s="32"/>
      <c r="G30" s="42"/>
      <c r="H30" s="15"/>
      <c r="I30" s="41"/>
      <c r="J30" s="41"/>
      <c r="K30" s="40"/>
      <c r="L30" s="39"/>
      <c r="M30" s="96" t="s">
        <v>89</v>
      </c>
      <c r="N30" s="96" t="s">
        <v>89</v>
      </c>
    </row>
    <row r="31" spans="1:15" ht="136.15" customHeight="1" x14ac:dyDescent="0.25">
      <c r="A31" s="28">
        <f>A26+1</f>
        <v>21</v>
      </c>
      <c r="B31" s="28">
        <f>B26+1</f>
        <v>21</v>
      </c>
      <c r="C31" s="10"/>
      <c r="D31" s="9"/>
      <c r="E31" s="134" t="s">
        <v>88</v>
      </c>
      <c r="F31" s="191" t="s">
        <v>87</v>
      </c>
      <c r="G31" s="191" t="s">
        <v>58</v>
      </c>
      <c r="H31" s="137" t="s">
        <v>202</v>
      </c>
      <c r="I31" s="25">
        <v>4</v>
      </c>
      <c r="J31" s="25" t="s">
        <v>86</v>
      </c>
      <c r="K31" s="142" t="s">
        <v>14</v>
      </c>
      <c r="L31" s="142">
        <v>1</v>
      </c>
      <c r="M31" s="38" t="s">
        <v>77</v>
      </c>
      <c r="N31" s="24" t="s">
        <v>203</v>
      </c>
    </row>
    <row r="32" spans="1:15" ht="210" x14ac:dyDescent="0.25">
      <c r="A32" s="28">
        <f>A31+1</f>
        <v>22</v>
      </c>
      <c r="B32" s="28">
        <f>B31+1</f>
        <v>22</v>
      </c>
      <c r="C32" s="10"/>
      <c r="D32" s="9"/>
      <c r="E32" s="135" t="s">
        <v>84</v>
      </c>
      <c r="F32" s="192"/>
      <c r="G32" s="192"/>
      <c r="H32" s="132" t="s">
        <v>196</v>
      </c>
      <c r="I32" s="23">
        <v>4</v>
      </c>
      <c r="J32" s="23" t="s">
        <v>83</v>
      </c>
      <c r="K32" s="130" t="s">
        <v>14</v>
      </c>
      <c r="L32" s="130">
        <v>2</v>
      </c>
      <c r="M32" s="37" t="s">
        <v>77</v>
      </c>
      <c r="N32" s="36" t="s">
        <v>77</v>
      </c>
    </row>
    <row r="33" spans="1:15" ht="75" customHeight="1" x14ac:dyDescent="0.25">
      <c r="A33" s="28">
        <f t="shared" ref="A33:B41" si="1">A32+1</f>
        <v>23</v>
      </c>
      <c r="B33" s="28">
        <f t="shared" si="1"/>
        <v>23</v>
      </c>
      <c r="C33" s="10"/>
      <c r="D33" s="9"/>
      <c r="E33" s="135" t="s">
        <v>82</v>
      </c>
      <c r="F33" s="192"/>
      <c r="G33" s="192"/>
      <c r="H33" s="143"/>
      <c r="I33" s="23">
        <v>4</v>
      </c>
      <c r="J33" s="23" t="s">
        <v>81</v>
      </c>
      <c r="K33" s="130" t="s">
        <v>8</v>
      </c>
      <c r="L33" s="130">
        <v>16</v>
      </c>
      <c r="M33" s="37" t="s">
        <v>80</v>
      </c>
      <c r="N33" s="36" t="s">
        <v>80</v>
      </c>
    </row>
    <row r="34" spans="1:15" ht="60" customHeight="1" x14ac:dyDescent="0.25">
      <c r="A34" s="28">
        <f t="shared" si="1"/>
        <v>24</v>
      </c>
      <c r="B34" s="28">
        <f t="shared" si="1"/>
        <v>24</v>
      </c>
      <c r="C34" s="10"/>
      <c r="D34" s="9"/>
      <c r="E34" s="135" t="s">
        <v>79</v>
      </c>
      <c r="F34" s="192"/>
      <c r="G34" s="192"/>
      <c r="H34" s="143"/>
      <c r="I34" s="23">
        <v>4</v>
      </c>
      <c r="J34" s="23" t="s">
        <v>78</v>
      </c>
      <c r="K34" s="130" t="s">
        <v>8</v>
      </c>
      <c r="L34" s="130">
        <v>50</v>
      </c>
      <c r="M34" s="37" t="s">
        <v>77</v>
      </c>
      <c r="N34" s="36" t="s">
        <v>77</v>
      </c>
    </row>
    <row r="35" spans="1:15" ht="60" x14ac:dyDescent="0.25">
      <c r="A35" s="28">
        <f t="shared" si="1"/>
        <v>25</v>
      </c>
      <c r="B35" s="28">
        <f t="shared" si="1"/>
        <v>25</v>
      </c>
      <c r="C35" s="10"/>
      <c r="D35" s="9"/>
      <c r="E35" s="135" t="s">
        <v>76</v>
      </c>
      <c r="F35" s="192"/>
      <c r="G35" s="192"/>
      <c r="H35" s="143"/>
      <c r="I35" s="23">
        <v>4</v>
      </c>
      <c r="J35" s="23" t="s">
        <v>75</v>
      </c>
      <c r="K35" s="130" t="s">
        <v>8</v>
      </c>
      <c r="L35" s="130">
        <v>16</v>
      </c>
      <c r="M35" s="37" t="s">
        <v>74</v>
      </c>
      <c r="N35" s="36" t="s">
        <v>74</v>
      </c>
    </row>
    <row r="36" spans="1:15" ht="75" x14ac:dyDescent="0.25">
      <c r="A36" s="28">
        <f t="shared" si="1"/>
        <v>26</v>
      </c>
      <c r="B36" s="28">
        <f t="shared" si="1"/>
        <v>26</v>
      </c>
      <c r="C36" s="10"/>
      <c r="D36" s="9"/>
      <c r="E36" s="135" t="s">
        <v>73</v>
      </c>
      <c r="F36" s="192"/>
      <c r="G36" s="192"/>
      <c r="H36" s="143"/>
      <c r="I36" s="23">
        <v>4</v>
      </c>
      <c r="J36" s="23" t="s">
        <v>72</v>
      </c>
      <c r="K36" s="130" t="s">
        <v>8</v>
      </c>
      <c r="L36" s="130">
        <v>20</v>
      </c>
      <c r="M36" s="128" t="s">
        <v>282</v>
      </c>
      <c r="N36" s="128" t="s">
        <v>282</v>
      </c>
      <c r="O36" s="164" t="s">
        <v>278</v>
      </c>
    </row>
    <row r="37" spans="1:15" ht="75" x14ac:dyDescent="0.25">
      <c r="A37" s="28">
        <f t="shared" si="1"/>
        <v>27</v>
      </c>
      <c r="B37" s="28">
        <f t="shared" si="1"/>
        <v>27</v>
      </c>
      <c r="C37" s="10"/>
      <c r="D37" s="9"/>
      <c r="E37" s="135" t="s">
        <v>71</v>
      </c>
      <c r="F37" s="192"/>
      <c r="G37" s="192"/>
      <c r="H37" s="143"/>
      <c r="I37" s="23">
        <v>4</v>
      </c>
      <c r="J37" s="23" t="s">
        <v>70</v>
      </c>
      <c r="K37" s="130" t="s">
        <v>8</v>
      </c>
      <c r="L37" s="130">
        <v>20</v>
      </c>
      <c r="M37" s="128" t="s">
        <v>282</v>
      </c>
      <c r="N37" s="128" t="s">
        <v>282</v>
      </c>
      <c r="O37" s="164" t="s">
        <v>278</v>
      </c>
    </row>
    <row r="38" spans="1:15" ht="75" x14ac:dyDescent="0.25">
      <c r="A38" s="28">
        <f t="shared" si="1"/>
        <v>28</v>
      </c>
      <c r="B38" s="28">
        <f t="shared" si="1"/>
        <v>28</v>
      </c>
      <c r="C38" s="10"/>
      <c r="D38" s="9"/>
      <c r="E38" s="135" t="s">
        <v>69</v>
      </c>
      <c r="F38" s="192"/>
      <c r="G38" s="192"/>
      <c r="H38" s="143"/>
      <c r="I38" s="23">
        <v>4</v>
      </c>
      <c r="J38" s="23" t="s">
        <v>68</v>
      </c>
      <c r="K38" s="23" t="s">
        <v>8</v>
      </c>
      <c r="L38" s="23">
        <v>11</v>
      </c>
      <c r="M38" s="128" t="s">
        <v>266</v>
      </c>
      <c r="N38" s="128" t="s">
        <v>266</v>
      </c>
      <c r="O38" s="164" t="s">
        <v>278</v>
      </c>
    </row>
    <row r="39" spans="1:15" ht="75" x14ac:dyDescent="0.25">
      <c r="A39" s="28">
        <f t="shared" si="1"/>
        <v>29</v>
      </c>
      <c r="B39" s="28">
        <f t="shared" si="1"/>
        <v>29</v>
      </c>
      <c r="C39" s="10"/>
      <c r="D39" s="9"/>
      <c r="E39" s="135" t="s">
        <v>67</v>
      </c>
      <c r="F39" s="192"/>
      <c r="G39" s="192"/>
      <c r="H39" s="143"/>
      <c r="I39" s="23">
        <v>4</v>
      </c>
      <c r="J39" s="23" t="s">
        <v>66</v>
      </c>
      <c r="K39" s="130" t="s">
        <v>8</v>
      </c>
      <c r="L39" s="130">
        <v>50</v>
      </c>
      <c r="M39" s="37" t="s">
        <v>63</v>
      </c>
      <c r="N39" s="36" t="s">
        <v>63</v>
      </c>
    </row>
    <row r="40" spans="1:15" ht="97.15" customHeight="1" x14ac:dyDescent="0.25">
      <c r="A40" s="28">
        <f t="shared" si="1"/>
        <v>30</v>
      </c>
      <c r="B40" s="28">
        <f t="shared" si="1"/>
        <v>30</v>
      </c>
      <c r="C40" s="10"/>
      <c r="D40" s="9"/>
      <c r="E40" s="135" t="s">
        <v>65</v>
      </c>
      <c r="F40" s="192"/>
      <c r="G40" s="192"/>
      <c r="H40" s="143"/>
      <c r="I40" s="23">
        <v>3</v>
      </c>
      <c r="J40" s="23" t="s">
        <v>64</v>
      </c>
      <c r="K40" s="130" t="s">
        <v>8</v>
      </c>
      <c r="L40" s="130">
        <v>15</v>
      </c>
      <c r="M40" s="128" t="s">
        <v>267</v>
      </c>
      <c r="N40" s="129" t="s">
        <v>267</v>
      </c>
      <c r="O40" s="164" t="s">
        <v>278</v>
      </c>
    </row>
    <row r="41" spans="1:15" s="93" customFormat="1" ht="79.5" customHeight="1" thickBot="1" x14ac:dyDescent="0.3">
      <c r="A41" s="28">
        <f t="shared" si="1"/>
        <v>31</v>
      </c>
      <c r="B41" s="28">
        <f t="shared" si="1"/>
        <v>31</v>
      </c>
      <c r="C41" s="91"/>
      <c r="D41" s="92"/>
      <c r="E41" s="136" t="s">
        <v>186</v>
      </c>
      <c r="F41" s="193"/>
      <c r="G41" s="193"/>
      <c r="H41" s="133" t="s">
        <v>185</v>
      </c>
      <c r="I41" s="22">
        <v>3</v>
      </c>
      <c r="J41" s="22" t="s">
        <v>96</v>
      </c>
      <c r="K41" s="138" t="s">
        <v>8</v>
      </c>
      <c r="L41" s="138">
        <v>16</v>
      </c>
      <c r="M41" s="103" t="s">
        <v>187</v>
      </c>
      <c r="N41" s="21" t="s">
        <v>187</v>
      </c>
      <c r="O41" s="121"/>
    </row>
    <row r="42" spans="1:15" ht="146.44999999999999" customHeight="1" thickBot="1" x14ac:dyDescent="0.3">
      <c r="A42" s="107"/>
      <c r="B42" s="107"/>
      <c r="C42" s="31" t="s">
        <v>62</v>
      </c>
      <c r="D42" s="31" t="s">
        <v>0</v>
      </c>
      <c r="E42" s="11"/>
      <c r="F42" s="33"/>
      <c r="G42" s="6"/>
      <c r="H42" s="32"/>
      <c r="I42" s="31"/>
      <c r="J42" s="5"/>
      <c r="K42" s="5"/>
      <c r="L42" s="30"/>
      <c r="M42" s="144" t="s">
        <v>61</v>
      </c>
      <c r="N42" s="144" t="s">
        <v>60</v>
      </c>
    </row>
    <row r="43" spans="1:15" ht="367.15" customHeight="1" x14ac:dyDescent="0.25">
      <c r="A43" s="107">
        <f>A41+1</f>
        <v>32</v>
      </c>
      <c r="B43" s="107">
        <f>B41+1</f>
        <v>32</v>
      </c>
      <c r="C43" s="13"/>
      <c r="D43" s="12"/>
      <c r="E43" s="134" t="s">
        <v>59</v>
      </c>
      <c r="F43" s="168" t="s">
        <v>58</v>
      </c>
      <c r="G43" s="168" t="s">
        <v>26</v>
      </c>
      <c r="H43" s="131" t="s">
        <v>268</v>
      </c>
      <c r="I43" s="25">
        <v>1</v>
      </c>
      <c r="J43" s="25" t="s">
        <v>57</v>
      </c>
      <c r="K43" s="142" t="s">
        <v>14</v>
      </c>
      <c r="L43" s="142">
        <v>2</v>
      </c>
      <c r="M43" s="38" t="s">
        <v>198</v>
      </c>
      <c r="N43" s="24" t="s">
        <v>56</v>
      </c>
      <c r="O43" s="1"/>
    </row>
    <row r="44" spans="1:15" ht="118.5" customHeight="1" x14ac:dyDescent="0.25">
      <c r="A44" s="107">
        <f>A43+1</f>
        <v>33</v>
      </c>
      <c r="B44" s="107">
        <f>B43+1</f>
        <v>33</v>
      </c>
      <c r="C44" s="13"/>
      <c r="D44" s="12"/>
      <c r="E44" s="135" t="s">
        <v>55</v>
      </c>
      <c r="F44" s="169"/>
      <c r="G44" s="169"/>
      <c r="H44" s="132" t="s">
        <v>54</v>
      </c>
      <c r="I44" s="23">
        <v>1</v>
      </c>
      <c r="J44" s="23" t="s">
        <v>53</v>
      </c>
      <c r="K44" s="130" t="s">
        <v>8</v>
      </c>
      <c r="L44" s="130">
        <v>50</v>
      </c>
      <c r="M44" s="37" t="s">
        <v>52</v>
      </c>
      <c r="N44" s="36" t="s">
        <v>51</v>
      </c>
    </row>
    <row r="45" spans="1:15" s="2" customFormat="1" ht="90" x14ac:dyDescent="0.25">
      <c r="A45" s="107">
        <f t="shared" ref="A45:B50" si="2">A44+1</f>
        <v>34</v>
      </c>
      <c r="B45" s="107">
        <f t="shared" si="2"/>
        <v>34</v>
      </c>
      <c r="C45" s="13"/>
      <c r="D45" s="12"/>
      <c r="E45" s="135" t="s">
        <v>50</v>
      </c>
      <c r="F45" s="169"/>
      <c r="G45" s="169"/>
      <c r="H45" s="132" t="s">
        <v>49</v>
      </c>
      <c r="I45" s="23">
        <v>1</v>
      </c>
      <c r="J45" s="23" t="s">
        <v>48</v>
      </c>
      <c r="K45" s="23" t="s">
        <v>8</v>
      </c>
      <c r="L45" s="23">
        <v>34</v>
      </c>
      <c r="M45" s="37" t="s">
        <v>47</v>
      </c>
      <c r="N45" s="36" t="s">
        <v>201</v>
      </c>
      <c r="O45" s="120"/>
    </row>
    <row r="46" spans="1:15" ht="168" customHeight="1" x14ac:dyDescent="0.25">
      <c r="A46" s="107">
        <f t="shared" si="2"/>
        <v>35</v>
      </c>
      <c r="B46" s="107">
        <f t="shared" si="2"/>
        <v>35</v>
      </c>
      <c r="C46" s="13"/>
      <c r="D46" s="12"/>
      <c r="E46" s="135" t="s">
        <v>46</v>
      </c>
      <c r="F46" s="169"/>
      <c r="G46" s="169"/>
      <c r="H46" s="132" t="s">
        <v>45</v>
      </c>
      <c r="I46" s="23">
        <v>1</v>
      </c>
      <c r="J46" s="23" t="s">
        <v>44</v>
      </c>
      <c r="K46" s="23" t="s">
        <v>14</v>
      </c>
      <c r="L46" s="23">
        <v>1</v>
      </c>
      <c r="M46" s="35" t="s">
        <v>216</v>
      </c>
      <c r="N46" s="34" t="s">
        <v>43</v>
      </c>
    </row>
    <row r="47" spans="1:15" ht="225.6" customHeight="1" x14ac:dyDescent="0.25">
      <c r="A47" s="107">
        <f t="shared" si="2"/>
        <v>36</v>
      </c>
      <c r="B47" s="107">
        <f t="shared" si="2"/>
        <v>36</v>
      </c>
      <c r="C47" s="13"/>
      <c r="D47" s="12"/>
      <c r="E47" s="135" t="s">
        <v>42</v>
      </c>
      <c r="F47" s="169"/>
      <c r="G47" s="169"/>
      <c r="H47" s="132" t="s">
        <v>41</v>
      </c>
      <c r="I47" s="23">
        <v>1</v>
      </c>
      <c r="J47" s="23" t="s">
        <v>40</v>
      </c>
      <c r="K47" s="23" t="s">
        <v>14</v>
      </c>
      <c r="L47" s="23">
        <v>1</v>
      </c>
      <c r="M47" s="35" t="s">
        <v>217</v>
      </c>
      <c r="N47" s="34" t="s">
        <v>193</v>
      </c>
    </row>
    <row r="48" spans="1:15" ht="132.75" customHeight="1" x14ac:dyDescent="0.25">
      <c r="A48" s="107">
        <f>A47+1</f>
        <v>37</v>
      </c>
      <c r="B48" s="107">
        <f>B47+1</f>
        <v>37</v>
      </c>
      <c r="C48" s="13"/>
      <c r="D48" s="12"/>
      <c r="E48" s="135" t="s">
        <v>180</v>
      </c>
      <c r="F48" s="169"/>
      <c r="G48" s="169"/>
      <c r="H48" s="132" t="s">
        <v>239</v>
      </c>
      <c r="I48" s="23">
        <v>4</v>
      </c>
      <c r="J48" s="23" t="s">
        <v>181</v>
      </c>
      <c r="K48" s="23" t="s">
        <v>14</v>
      </c>
      <c r="L48" s="23">
        <v>1</v>
      </c>
      <c r="M48" s="35" t="s">
        <v>212</v>
      </c>
      <c r="N48" s="36" t="s">
        <v>177</v>
      </c>
    </row>
    <row r="49" spans="1:15" ht="388.5" customHeight="1" x14ac:dyDescent="0.25">
      <c r="A49" s="107">
        <f t="shared" si="2"/>
        <v>38</v>
      </c>
      <c r="B49" s="107">
        <f t="shared" si="2"/>
        <v>38</v>
      </c>
      <c r="C49" s="28"/>
      <c r="D49" s="10"/>
      <c r="E49" s="135" t="s">
        <v>190</v>
      </c>
      <c r="F49" s="169"/>
      <c r="G49" s="169"/>
      <c r="H49" s="132"/>
      <c r="I49" s="23">
        <v>4</v>
      </c>
      <c r="J49" s="23" t="s">
        <v>191</v>
      </c>
      <c r="K49" s="23" t="s">
        <v>14</v>
      </c>
      <c r="L49" s="23">
        <v>6</v>
      </c>
      <c r="M49" s="37" t="s">
        <v>252</v>
      </c>
      <c r="N49" s="36" t="s">
        <v>177</v>
      </c>
      <c r="O49" s="125"/>
    </row>
    <row r="50" spans="1:15" ht="174.6" customHeight="1" thickBot="1" x14ac:dyDescent="0.3">
      <c r="A50" s="107">
        <f t="shared" si="2"/>
        <v>39</v>
      </c>
      <c r="B50" s="107">
        <f t="shared" si="2"/>
        <v>39</v>
      </c>
      <c r="C50" s="28"/>
      <c r="D50" s="10"/>
      <c r="E50" s="136" t="s">
        <v>182</v>
      </c>
      <c r="F50" s="170"/>
      <c r="G50" s="170"/>
      <c r="H50" s="133"/>
      <c r="I50" s="22">
        <v>4</v>
      </c>
      <c r="J50" s="22" t="s">
        <v>192</v>
      </c>
      <c r="K50" s="22" t="s">
        <v>14</v>
      </c>
      <c r="L50" s="22">
        <v>6</v>
      </c>
      <c r="M50" s="103" t="s">
        <v>253</v>
      </c>
      <c r="N50" s="21" t="s">
        <v>178</v>
      </c>
    </row>
    <row r="51" spans="1:15" ht="105.6" customHeight="1" thickBot="1" x14ac:dyDescent="0.3">
      <c r="A51" s="107"/>
      <c r="B51" s="107"/>
      <c r="C51" s="31" t="s">
        <v>39</v>
      </c>
      <c r="D51" s="31" t="s">
        <v>0</v>
      </c>
      <c r="E51" s="11"/>
      <c r="F51" s="33"/>
      <c r="G51" s="6"/>
      <c r="H51" s="32"/>
      <c r="I51" s="31"/>
      <c r="J51" s="5"/>
      <c r="K51" s="5"/>
      <c r="L51" s="30"/>
      <c r="M51" s="122" t="s">
        <v>205</v>
      </c>
      <c r="N51" s="122" t="s">
        <v>204</v>
      </c>
    </row>
    <row r="52" spans="1:15" ht="393.75" customHeight="1" thickBot="1" x14ac:dyDescent="0.3">
      <c r="A52" s="107">
        <v>40</v>
      </c>
      <c r="B52" s="107">
        <v>40</v>
      </c>
      <c r="C52" s="28"/>
      <c r="D52" s="10"/>
      <c r="E52" s="147" t="s">
        <v>38</v>
      </c>
      <c r="F52" s="146" t="s">
        <v>26</v>
      </c>
      <c r="G52" s="146" t="s">
        <v>33</v>
      </c>
      <c r="H52" s="145" t="s">
        <v>213</v>
      </c>
      <c r="I52" s="17">
        <v>1</v>
      </c>
      <c r="J52" s="17" t="s">
        <v>37</v>
      </c>
      <c r="K52" s="17" t="s">
        <v>14</v>
      </c>
      <c r="L52" s="17">
        <v>2</v>
      </c>
      <c r="M52" s="101" t="s">
        <v>251</v>
      </c>
      <c r="N52" s="102" t="s">
        <v>211</v>
      </c>
    </row>
    <row r="53" spans="1:15" s="2" customFormat="1" ht="39.75" customHeight="1" thickBot="1" x14ac:dyDescent="0.3">
      <c r="A53" s="107"/>
      <c r="B53" s="107"/>
      <c r="C53" s="28"/>
      <c r="D53" s="10"/>
      <c r="E53" s="85"/>
      <c r="F53" s="84"/>
      <c r="G53" s="84"/>
      <c r="H53" s="85"/>
      <c r="I53" s="86"/>
      <c r="J53" s="87"/>
      <c r="K53" s="88"/>
      <c r="L53" s="89"/>
      <c r="M53" s="90"/>
      <c r="N53" s="90"/>
      <c r="O53" s="120"/>
    </row>
    <row r="54" spans="1:15" ht="65.25" customHeight="1" thickBot="1" x14ac:dyDescent="0.3">
      <c r="A54" s="107"/>
      <c r="B54" s="107"/>
      <c r="C54" s="31" t="s">
        <v>36</v>
      </c>
      <c r="D54" s="31" t="s">
        <v>3</v>
      </c>
      <c r="E54" s="6"/>
      <c r="F54" s="27"/>
      <c r="G54" s="27"/>
      <c r="H54" s="6"/>
      <c r="I54" s="5"/>
      <c r="J54" s="29"/>
      <c r="K54" s="4"/>
      <c r="L54" s="15"/>
      <c r="M54" s="97" t="s">
        <v>35</v>
      </c>
      <c r="N54" s="98" t="s">
        <v>35</v>
      </c>
    </row>
    <row r="55" spans="1:15" ht="114" customHeight="1" thickBot="1" x14ac:dyDescent="0.3">
      <c r="A55" s="107">
        <f>A52+1</f>
        <v>41</v>
      </c>
      <c r="B55" s="107">
        <f>B52+1</f>
        <v>41</v>
      </c>
      <c r="C55" s="28"/>
      <c r="D55" s="10"/>
      <c r="E55" s="147" t="s">
        <v>34</v>
      </c>
      <c r="F55" s="146" t="s">
        <v>33</v>
      </c>
      <c r="G55" s="148" t="s">
        <v>259</v>
      </c>
      <c r="H55" s="145"/>
      <c r="I55" s="17">
        <v>4</v>
      </c>
      <c r="J55" s="17" t="s">
        <v>32</v>
      </c>
      <c r="K55" s="17" t="s">
        <v>8</v>
      </c>
      <c r="L55" s="17">
        <v>1000</v>
      </c>
      <c r="M55" s="101" t="s">
        <v>210</v>
      </c>
      <c r="N55" s="102" t="s">
        <v>31</v>
      </c>
      <c r="O55" s="120"/>
    </row>
    <row r="56" spans="1:15" ht="60" x14ac:dyDescent="0.25">
      <c r="A56" s="107"/>
      <c r="B56" s="107"/>
      <c r="C56" s="31" t="s">
        <v>30</v>
      </c>
      <c r="D56" s="31" t="s">
        <v>3</v>
      </c>
      <c r="E56" s="6"/>
      <c r="F56" s="8"/>
      <c r="G56" s="7"/>
      <c r="H56" s="6"/>
      <c r="I56" s="5"/>
      <c r="J56" s="4"/>
      <c r="K56" s="4"/>
      <c r="L56" s="15"/>
      <c r="M56" s="14"/>
      <c r="N56" s="14"/>
    </row>
    <row r="57" spans="1:15" ht="60.75" thickBot="1" x14ac:dyDescent="0.3">
      <c r="A57" s="107"/>
      <c r="B57" s="107"/>
      <c r="C57" s="31" t="s">
        <v>29</v>
      </c>
      <c r="D57" s="31" t="s">
        <v>0</v>
      </c>
      <c r="E57" s="6"/>
      <c r="F57" s="27"/>
      <c r="G57" s="27"/>
      <c r="H57" s="26"/>
      <c r="I57" s="5"/>
      <c r="J57" s="4"/>
      <c r="K57" s="4"/>
      <c r="L57" s="15"/>
      <c r="M57" s="14"/>
      <c r="N57" s="14"/>
    </row>
    <row r="58" spans="1:15" ht="300.75" thickBot="1" x14ac:dyDescent="0.3">
      <c r="A58" s="107"/>
      <c r="B58" s="107"/>
      <c r="C58" s="31" t="s">
        <v>28</v>
      </c>
      <c r="D58" s="31" t="s">
        <v>3</v>
      </c>
      <c r="E58" s="6"/>
      <c r="F58" s="27"/>
      <c r="G58" s="27"/>
      <c r="H58" s="26"/>
      <c r="I58" s="5"/>
      <c r="J58" s="4"/>
      <c r="K58" s="4"/>
      <c r="L58" s="15"/>
      <c r="M58" s="99" t="s">
        <v>250</v>
      </c>
      <c r="N58" s="99" t="s">
        <v>206</v>
      </c>
    </row>
    <row r="59" spans="1:15" ht="255" customHeight="1" x14ac:dyDescent="0.25">
      <c r="A59" s="107">
        <f>A55+1</f>
        <v>42</v>
      </c>
      <c r="B59" s="107">
        <f>B55+1</f>
        <v>42</v>
      </c>
      <c r="C59" s="13"/>
      <c r="D59" s="12"/>
      <c r="E59" s="134" t="s">
        <v>27</v>
      </c>
      <c r="F59" s="191" t="s">
        <v>26</v>
      </c>
      <c r="G59" s="191" t="s">
        <v>10</v>
      </c>
      <c r="H59" s="149"/>
      <c r="I59" s="25">
        <v>4</v>
      </c>
      <c r="J59" s="25" t="s">
        <v>25</v>
      </c>
      <c r="K59" s="142" t="s">
        <v>8</v>
      </c>
      <c r="L59" s="142">
        <v>36</v>
      </c>
      <c r="M59" s="38" t="s">
        <v>199</v>
      </c>
      <c r="N59" s="24" t="s">
        <v>207</v>
      </c>
    </row>
    <row r="60" spans="1:15" ht="222.75" customHeight="1" x14ac:dyDescent="0.25">
      <c r="A60" s="107">
        <f t="shared" ref="A60:B62" si="3">A59+1</f>
        <v>43</v>
      </c>
      <c r="B60" s="107">
        <f t="shared" si="3"/>
        <v>43</v>
      </c>
      <c r="C60" s="13"/>
      <c r="D60" s="12"/>
      <c r="E60" s="135" t="s">
        <v>24</v>
      </c>
      <c r="F60" s="192"/>
      <c r="G60" s="192"/>
      <c r="H60" s="150"/>
      <c r="I60" s="23">
        <v>4</v>
      </c>
      <c r="J60" s="23" t="s">
        <v>23</v>
      </c>
      <c r="K60" s="130" t="s">
        <v>8</v>
      </c>
      <c r="L60" s="23" t="s">
        <v>189</v>
      </c>
      <c r="M60" s="37" t="s">
        <v>254</v>
      </c>
      <c r="N60" s="36" t="s">
        <v>208</v>
      </c>
    </row>
    <row r="61" spans="1:15" ht="190.15" customHeight="1" x14ac:dyDescent="0.25">
      <c r="A61" s="107">
        <f t="shared" si="3"/>
        <v>44</v>
      </c>
      <c r="B61" s="107">
        <f t="shared" si="3"/>
        <v>44</v>
      </c>
      <c r="C61" s="13"/>
      <c r="D61" s="12"/>
      <c r="E61" s="135" t="s">
        <v>188</v>
      </c>
      <c r="F61" s="192"/>
      <c r="G61" s="192"/>
      <c r="H61" s="132" t="s">
        <v>197</v>
      </c>
      <c r="I61" s="23">
        <v>1</v>
      </c>
      <c r="J61" s="23" t="s">
        <v>22</v>
      </c>
      <c r="K61" s="23" t="s">
        <v>14</v>
      </c>
      <c r="L61" s="23">
        <v>1</v>
      </c>
      <c r="M61" s="37" t="s">
        <v>255</v>
      </c>
      <c r="N61" s="36" t="s">
        <v>209</v>
      </c>
    </row>
    <row r="62" spans="1:15" ht="303" customHeight="1" thickBot="1" x14ac:dyDescent="0.3">
      <c r="A62" s="107">
        <f t="shared" si="3"/>
        <v>45</v>
      </c>
      <c r="B62" s="107">
        <f t="shared" si="3"/>
        <v>45</v>
      </c>
      <c r="C62" s="10"/>
      <c r="D62" s="9"/>
      <c r="E62" s="136" t="s">
        <v>21</v>
      </c>
      <c r="F62" s="193"/>
      <c r="G62" s="193"/>
      <c r="H62" s="133" t="s">
        <v>269</v>
      </c>
      <c r="I62" s="22">
        <v>4</v>
      </c>
      <c r="J62" s="22" t="s">
        <v>20</v>
      </c>
      <c r="K62" s="22" t="s">
        <v>14</v>
      </c>
      <c r="L62" s="22">
        <v>3</v>
      </c>
      <c r="M62" s="103" t="s">
        <v>256</v>
      </c>
      <c r="N62" s="21" t="s">
        <v>227</v>
      </c>
      <c r="O62" s="1"/>
    </row>
    <row r="63" spans="1:15" ht="45.75" customHeight="1" thickBot="1" x14ac:dyDescent="0.3">
      <c r="A63" s="108"/>
      <c r="B63" s="108"/>
      <c r="C63" s="31" t="s">
        <v>19</v>
      </c>
      <c r="D63" s="31" t="s">
        <v>3</v>
      </c>
      <c r="E63" s="6"/>
      <c r="F63" s="8"/>
      <c r="G63" s="7"/>
      <c r="H63" s="6"/>
      <c r="I63" s="5"/>
      <c r="J63" s="4"/>
      <c r="K63" s="4"/>
      <c r="L63" s="15"/>
      <c r="M63" s="123" t="s">
        <v>18</v>
      </c>
      <c r="N63" s="124" t="s">
        <v>215</v>
      </c>
    </row>
    <row r="64" spans="1:15" s="18" customFormat="1" ht="409.6" customHeight="1" x14ac:dyDescent="0.25">
      <c r="A64" s="171">
        <f>A62+1</f>
        <v>46</v>
      </c>
      <c r="B64" s="171">
        <f>B62+1</f>
        <v>46</v>
      </c>
      <c r="C64" s="20"/>
      <c r="D64" s="19"/>
      <c r="E64" s="183" t="s">
        <v>17</v>
      </c>
      <c r="F64" s="194" t="s">
        <v>10</v>
      </c>
      <c r="G64" s="196" t="s">
        <v>16</v>
      </c>
      <c r="H64" s="151" t="s">
        <v>270</v>
      </c>
      <c r="I64" s="177">
        <v>1</v>
      </c>
      <c r="J64" s="177" t="s">
        <v>15</v>
      </c>
      <c r="K64" s="177" t="s">
        <v>14</v>
      </c>
      <c r="L64" s="177">
        <v>4</v>
      </c>
      <c r="M64" s="179" t="s">
        <v>285</v>
      </c>
      <c r="N64" s="181" t="s">
        <v>194</v>
      </c>
      <c r="O64" s="167" t="s">
        <v>277</v>
      </c>
    </row>
    <row r="65" spans="1:16" s="18" customFormat="1" ht="409.15" customHeight="1" thickBot="1" x14ac:dyDescent="0.3">
      <c r="A65" s="171"/>
      <c r="B65" s="171"/>
      <c r="C65" s="20"/>
      <c r="D65" s="19"/>
      <c r="E65" s="184"/>
      <c r="F65" s="195"/>
      <c r="G65" s="197"/>
      <c r="H65" s="163" t="s">
        <v>283</v>
      </c>
      <c r="I65" s="178"/>
      <c r="J65" s="178"/>
      <c r="K65" s="178"/>
      <c r="L65" s="178"/>
      <c r="M65" s="180"/>
      <c r="N65" s="182"/>
      <c r="O65" s="167"/>
    </row>
    <row r="66" spans="1:16" ht="52.5" customHeight="1" thickBot="1" x14ac:dyDescent="0.3">
      <c r="A66" s="108"/>
      <c r="B66" s="108"/>
      <c r="C66" s="31" t="s">
        <v>13</v>
      </c>
      <c r="D66" s="31" t="s">
        <v>3</v>
      </c>
      <c r="E66" s="6"/>
      <c r="F66" s="8"/>
      <c r="G66" s="7"/>
      <c r="H66" s="6"/>
      <c r="I66" s="5"/>
      <c r="J66" s="4"/>
      <c r="K66" s="4"/>
      <c r="L66" s="15"/>
      <c r="M66" s="14"/>
      <c r="N66" s="14"/>
    </row>
    <row r="67" spans="1:16" ht="409.6" thickBot="1" x14ac:dyDescent="0.3">
      <c r="A67" s="108"/>
      <c r="B67" s="108"/>
      <c r="C67" s="31" t="s">
        <v>12</v>
      </c>
      <c r="D67" s="31" t="s">
        <v>3</v>
      </c>
      <c r="E67" s="6"/>
      <c r="F67" s="8"/>
      <c r="G67" s="7"/>
      <c r="H67" s="6"/>
      <c r="I67" s="5"/>
      <c r="J67" s="4"/>
      <c r="K67" s="4"/>
      <c r="L67" s="15"/>
      <c r="M67" s="126" t="s">
        <v>281</v>
      </c>
      <c r="N67" s="127" t="s">
        <v>11</v>
      </c>
      <c r="O67" s="1"/>
    </row>
    <row r="68" spans="1:16" ht="168.75" customHeight="1" thickBot="1" x14ac:dyDescent="0.3">
      <c r="A68" s="108">
        <f>A64+1</f>
        <v>47</v>
      </c>
      <c r="B68" s="108">
        <f>B64+1</f>
        <v>47</v>
      </c>
      <c r="C68" s="10"/>
      <c r="D68" s="9"/>
      <c r="E68" s="147" t="s">
        <v>200</v>
      </c>
      <c r="F68" s="146" t="s">
        <v>10</v>
      </c>
      <c r="G68" s="148" t="s">
        <v>249</v>
      </c>
      <c r="H68" s="145"/>
      <c r="I68" s="17">
        <v>1</v>
      </c>
      <c r="J68" s="17" t="s">
        <v>9</v>
      </c>
      <c r="K68" s="152" t="s">
        <v>8</v>
      </c>
      <c r="L68" s="17">
        <v>1000</v>
      </c>
      <c r="M68" s="116"/>
      <c r="N68" s="16" t="s">
        <v>7</v>
      </c>
    </row>
    <row r="69" spans="1:16" ht="75.75" thickBot="1" x14ac:dyDescent="0.3">
      <c r="A69" s="108"/>
      <c r="B69" s="108"/>
      <c r="C69" s="10" t="s">
        <v>6</v>
      </c>
      <c r="D69" s="9" t="s">
        <v>3</v>
      </c>
      <c r="E69" s="6"/>
      <c r="F69" s="8"/>
      <c r="G69" s="7"/>
      <c r="H69" s="6"/>
      <c r="I69" s="5"/>
      <c r="J69" s="4"/>
      <c r="K69" s="4"/>
      <c r="L69" s="15"/>
      <c r="M69" s="14"/>
      <c r="N69" s="14"/>
    </row>
    <row r="70" spans="1:16" ht="297.60000000000002" customHeight="1" thickBot="1" x14ac:dyDescent="0.3">
      <c r="A70" s="112"/>
      <c r="B70" s="112"/>
      <c r="C70" s="10" t="s">
        <v>219</v>
      </c>
      <c r="D70" s="9" t="s">
        <v>3</v>
      </c>
      <c r="E70" s="6"/>
      <c r="F70" s="8"/>
      <c r="G70" s="7"/>
      <c r="H70" s="6"/>
      <c r="I70" s="5"/>
      <c r="J70" s="4"/>
      <c r="K70" s="4"/>
      <c r="L70" s="15"/>
      <c r="M70" s="154" t="s">
        <v>272</v>
      </c>
      <c r="N70" s="153" t="s">
        <v>215</v>
      </c>
      <c r="O70" s="2"/>
      <c r="P70" s="2"/>
    </row>
    <row r="71" spans="1:16" ht="105" customHeight="1" x14ac:dyDescent="0.25">
      <c r="A71" s="112">
        <f>A68+1</f>
        <v>48</v>
      </c>
      <c r="B71" s="112" t="s">
        <v>183</v>
      </c>
      <c r="C71" s="10"/>
      <c r="D71" s="9"/>
      <c r="E71" s="134" t="s">
        <v>241</v>
      </c>
      <c r="F71" s="168" t="s">
        <v>10</v>
      </c>
      <c r="G71" s="168" t="s">
        <v>238</v>
      </c>
      <c r="H71" s="131" t="s">
        <v>242</v>
      </c>
      <c r="I71" s="155">
        <v>1</v>
      </c>
      <c r="J71" s="155" t="s">
        <v>243</v>
      </c>
      <c r="K71" s="155" t="s">
        <v>14</v>
      </c>
      <c r="L71" s="155">
        <v>1</v>
      </c>
      <c r="M71" s="24"/>
      <c r="N71" s="172" t="s">
        <v>194</v>
      </c>
    </row>
    <row r="72" spans="1:16" ht="273" customHeight="1" x14ac:dyDescent="0.25">
      <c r="A72" s="112">
        <f>A71+1</f>
        <v>49</v>
      </c>
      <c r="B72" s="112" t="s">
        <v>183</v>
      </c>
      <c r="C72" s="10"/>
      <c r="D72" s="9"/>
      <c r="E72" s="162" t="s">
        <v>247</v>
      </c>
      <c r="F72" s="169"/>
      <c r="G72" s="169"/>
      <c r="H72" s="160" t="s">
        <v>246</v>
      </c>
      <c r="I72" s="161">
        <v>0</v>
      </c>
      <c r="J72" s="156" t="s">
        <v>245</v>
      </c>
      <c r="K72" s="156" t="s">
        <v>14</v>
      </c>
      <c r="L72" s="156">
        <v>1</v>
      </c>
      <c r="M72" s="157" t="s">
        <v>273</v>
      </c>
      <c r="N72" s="173"/>
      <c r="O72" s="165" t="s">
        <v>280</v>
      </c>
    </row>
    <row r="73" spans="1:16" ht="330" x14ac:dyDescent="0.25">
      <c r="A73" s="112">
        <f t="shared" ref="A73:A78" si="4">A72+1</f>
        <v>50</v>
      </c>
      <c r="B73" s="112" t="s">
        <v>183</v>
      </c>
      <c r="C73" s="10"/>
      <c r="D73" s="9"/>
      <c r="E73" s="135" t="s">
        <v>222</v>
      </c>
      <c r="F73" s="169"/>
      <c r="G73" s="169"/>
      <c r="H73" s="132"/>
      <c r="I73" s="23">
        <v>1</v>
      </c>
      <c r="J73" s="23" t="s">
        <v>223</v>
      </c>
      <c r="K73" s="23" t="s">
        <v>8</v>
      </c>
      <c r="L73" s="23">
        <v>30</v>
      </c>
      <c r="M73" s="36" t="s">
        <v>274</v>
      </c>
      <c r="N73" s="173"/>
    </row>
    <row r="74" spans="1:16" ht="90" x14ac:dyDescent="0.25">
      <c r="A74" s="112">
        <f t="shared" si="4"/>
        <v>51</v>
      </c>
      <c r="B74" s="112" t="s">
        <v>183</v>
      </c>
      <c r="C74" s="10"/>
      <c r="D74" s="9"/>
      <c r="E74" s="135" t="s">
        <v>229</v>
      </c>
      <c r="F74" s="169"/>
      <c r="G74" s="169"/>
      <c r="H74" s="132" t="s">
        <v>230</v>
      </c>
      <c r="I74" s="23">
        <v>1</v>
      </c>
      <c r="J74" s="23" t="s">
        <v>231</v>
      </c>
      <c r="K74" s="23" t="s">
        <v>14</v>
      </c>
      <c r="L74" s="23">
        <v>1</v>
      </c>
      <c r="M74" s="36" t="s">
        <v>232</v>
      </c>
      <c r="N74" s="174"/>
    </row>
    <row r="75" spans="1:16" ht="45" x14ac:dyDescent="0.25">
      <c r="A75" s="112">
        <f t="shared" si="4"/>
        <v>52</v>
      </c>
      <c r="B75" s="112" t="s">
        <v>183</v>
      </c>
      <c r="C75" s="10"/>
      <c r="D75" s="9"/>
      <c r="E75" s="135" t="s">
        <v>221</v>
      </c>
      <c r="F75" s="169"/>
      <c r="G75" s="169"/>
      <c r="H75" s="132"/>
      <c r="I75" s="23">
        <v>4</v>
      </c>
      <c r="J75" s="23" t="s">
        <v>224</v>
      </c>
      <c r="K75" s="23" t="s">
        <v>8</v>
      </c>
      <c r="L75" s="23">
        <v>20</v>
      </c>
      <c r="M75" s="36" t="s">
        <v>95</v>
      </c>
      <c r="N75" s="174"/>
    </row>
    <row r="76" spans="1:16" ht="90" x14ac:dyDescent="0.25">
      <c r="A76" s="112">
        <f t="shared" si="4"/>
        <v>53</v>
      </c>
      <c r="B76" s="112" t="s">
        <v>183</v>
      </c>
      <c r="C76" s="10"/>
      <c r="D76" s="9"/>
      <c r="E76" s="135" t="s">
        <v>260</v>
      </c>
      <c r="F76" s="169"/>
      <c r="G76" s="169"/>
      <c r="H76" s="132" t="s">
        <v>275</v>
      </c>
      <c r="I76" s="23">
        <v>1</v>
      </c>
      <c r="J76" s="23" t="s">
        <v>233</v>
      </c>
      <c r="K76" s="23" t="s">
        <v>14</v>
      </c>
      <c r="L76" s="23">
        <v>1</v>
      </c>
      <c r="M76" s="36" t="s">
        <v>257</v>
      </c>
      <c r="N76" s="174"/>
      <c r="O76" s="1"/>
    </row>
    <row r="77" spans="1:16" ht="60" x14ac:dyDescent="0.25">
      <c r="A77" s="112">
        <f t="shared" si="4"/>
        <v>54</v>
      </c>
      <c r="B77" s="112" t="s">
        <v>183</v>
      </c>
      <c r="C77" s="10"/>
      <c r="D77" s="9"/>
      <c r="E77" s="135" t="s">
        <v>240</v>
      </c>
      <c r="F77" s="169"/>
      <c r="G77" s="169"/>
      <c r="H77" s="132" t="s">
        <v>258</v>
      </c>
      <c r="I77" s="23">
        <v>4</v>
      </c>
      <c r="J77" s="23" t="s">
        <v>244</v>
      </c>
      <c r="K77" s="23" t="s">
        <v>14</v>
      </c>
      <c r="L77" s="23">
        <v>1</v>
      </c>
      <c r="M77" s="158" t="s">
        <v>261</v>
      </c>
      <c r="N77" s="175"/>
    </row>
    <row r="78" spans="1:16" ht="72.599999999999994" customHeight="1" thickBot="1" x14ac:dyDescent="0.3">
      <c r="A78" s="112">
        <f t="shared" si="4"/>
        <v>55</v>
      </c>
      <c r="B78" s="112" t="s">
        <v>183</v>
      </c>
      <c r="C78" s="10"/>
      <c r="D78" s="9"/>
      <c r="E78" s="136" t="s">
        <v>234</v>
      </c>
      <c r="F78" s="170"/>
      <c r="G78" s="170"/>
      <c r="H78" s="133"/>
      <c r="I78" s="22">
        <v>4</v>
      </c>
      <c r="J78" s="22" t="s">
        <v>235</v>
      </c>
      <c r="K78" s="22" t="s">
        <v>8</v>
      </c>
      <c r="L78" s="22">
        <v>500</v>
      </c>
      <c r="M78" s="159" t="s">
        <v>276</v>
      </c>
      <c r="N78" s="176"/>
      <c r="O78" s="1"/>
    </row>
    <row r="79" spans="1:16" ht="15.75" x14ac:dyDescent="0.25">
      <c r="A79" s="112"/>
      <c r="B79" s="112"/>
      <c r="C79" s="10"/>
      <c r="D79" s="9"/>
      <c r="E79" s="85"/>
      <c r="F79" s="114"/>
      <c r="G79" s="114"/>
      <c r="H79" s="85"/>
      <c r="I79" s="86"/>
      <c r="J79" s="88"/>
      <c r="K79" s="87"/>
      <c r="L79" s="89"/>
      <c r="M79" s="90"/>
      <c r="N79" s="115"/>
    </row>
    <row r="80" spans="1:16" ht="30" x14ac:dyDescent="0.25">
      <c r="A80" s="112"/>
      <c r="B80" s="112"/>
      <c r="C80" s="31" t="s">
        <v>220</v>
      </c>
      <c r="D80" s="31" t="s">
        <v>3</v>
      </c>
      <c r="E80" s="6"/>
      <c r="F80" s="8"/>
      <c r="G80" s="8"/>
      <c r="H80" s="6"/>
      <c r="I80" s="5"/>
      <c r="J80" s="4"/>
      <c r="K80" s="4"/>
      <c r="L80" s="15"/>
      <c r="M80" s="14"/>
      <c r="N80" s="113"/>
    </row>
    <row r="81" spans="1:15" ht="60" x14ac:dyDescent="0.25">
      <c r="A81" s="108"/>
      <c r="B81" s="108"/>
      <c r="C81" s="31" t="s">
        <v>5</v>
      </c>
      <c r="D81" s="31" t="s">
        <v>3</v>
      </c>
      <c r="E81" s="6"/>
      <c r="F81" s="8"/>
      <c r="G81" s="7"/>
      <c r="H81" s="6"/>
      <c r="I81" s="5"/>
      <c r="J81" s="5"/>
      <c r="K81" s="5"/>
      <c r="L81" s="5"/>
      <c r="M81" s="4"/>
      <c r="N81" s="4"/>
    </row>
    <row r="82" spans="1:15" ht="30" x14ac:dyDescent="0.25">
      <c r="A82" s="108"/>
      <c r="B82" s="108"/>
      <c r="C82" s="31" t="s">
        <v>4</v>
      </c>
      <c r="D82" s="31" t="s">
        <v>0</v>
      </c>
      <c r="E82" s="6"/>
      <c r="F82" s="8"/>
      <c r="G82" s="7"/>
      <c r="H82" s="6"/>
      <c r="I82" s="5"/>
      <c r="J82" s="5"/>
      <c r="K82" s="5"/>
      <c r="L82" s="5"/>
      <c r="M82" s="4"/>
      <c r="N82" s="4"/>
    </row>
    <row r="83" spans="1:15" ht="60" x14ac:dyDescent="0.25">
      <c r="A83" s="108"/>
      <c r="B83" s="108"/>
      <c r="C83" s="31" t="s">
        <v>225</v>
      </c>
      <c r="D83" s="31" t="s">
        <v>3</v>
      </c>
      <c r="E83" s="6"/>
      <c r="F83" s="8"/>
      <c r="G83" s="7"/>
      <c r="H83" s="6"/>
      <c r="I83" s="5"/>
      <c r="J83" s="5"/>
      <c r="K83" s="5"/>
      <c r="L83" s="5"/>
      <c r="M83" s="4"/>
      <c r="N83" s="4"/>
    </row>
    <row r="84" spans="1:15" ht="45" x14ac:dyDescent="0.25">
      <c r="A84" s="108"/>
      <c r="B84" s="108"/>
      <c r="C84" s="31" t="s">
        <v>2</v>
      </c>
      <c r="D84" s="31" t="s">
        <v>0</v>
      </c>
      <c r="E84" s="6"/>
      <c r="F84" s="8"/>
      <c r="G84" s="7"/>
      <c r="H84" s="6"/>
      <c r="I84" s="5"/>
      <c r="J84" s="5"/>
      <c r="K84" s="5"/>
      <c r="L84" s="5"/>
      <c r="M84" s="4"/>
      <c r="N84" s="4"/>
    </row>
    <row r="85" spans="1:15" ht="30" x14ac:dyDescent="0.25">
      <c r="A85" s="108"/>
      <c r="B85" s="108"/>
      <c r="C85" s="31" t="s">
        <v>1</v>
      </c>
      <c r="D85" s="31" t="s">
        <v>0</v>
      </c>
      <c r="E85" s="6"/>
      <c r="F85" s="8"/>
      <c r="G85" s="7"/>
      <c r="H85" s="6"/>
      <c r="I85" s="5"/>
      <c r="J85" s="5"/>
      <c r="K85" s="5"/>
      <c r="L85" s="5"/>
      <c r="M85" s="4"/>
      <c r="N85" s="4"/>
    </row>
    <row r="86" spans="1:15" ht="15.75" x14ac:dyDescent="0.25">
      <c r="A86" s="108"/>
      <c r="B86" s="108"/>
      <c r="C86" s="10"/>
      <c r="D86" s="9"/>
      <c r="E86" s="6"/>
      <c r="F86" s="8"/>
      <c r="G86" s="7"/>
      <c r="H86" s="6"/>
      <c r="I86" s="5"/>
      <c r="J86" s="5"/>
      <c r="K86" s="5"/>
      <c r="L86" s="5"/>
      <c r="M86" s="4"/>
      <c r="N86" s="4"/>
    </row>
    <row r="87" spans="1:15" s="3" customFormat="1" x14ac:dyDescent="0.25">
      <c r="A87" s="109"/>
      <c r="B87" s="109"/>
      <c r="E87" s="1"/>
      <c r="F87" s="1"/>
      <c r="G87" s="1"/>
      <c r="H87" s="1"/>
      <c r="I87" s="1"/>
      <c r="J87" s="1"/>
      <c r="K87" s="1"/>
      <c r="L87" s="1"/>
      <c r="M87" s="1"/>
      <c r="N87" s="1"/>
      <c r="O87" s="118"/>
    </row>
  </sheetData>
  <mergeCells count="27">
    <mergeCell ref="F4:F9"/>
    <mergeCell ref="G4:G9"/>
    <mergeCell ref="G11:G20"/>
    <mergeCell ref="F11:F20"/>
    <mergeCell ref="K64:K65"/>
    <mergeCell ref="F31:F41"/>
    <mergeCell ref="G31:G41"/>
    <mergeCell ref="F23:F26"/>
    <mergeCell ref="G23:G26"/>
    <mergeCell ref="F59:F62"/>
    <mergeCell ref="G59:G62"/>
    <mergeCell ref="I64:I65"/>
    <mergeCell ref="J64:J65"/>
    <mergeCell ref="F64:F65"/>
    <mergeCell ref="G64:G65"/>
    <mergeCell ref="G43:G50"/>
    <mergeCell ref="O64:O65"/>
    <mergeCell ref="F43:F50"/>
    <mergeCell ref="A64:A65"/>
    <mergeCell ref="N71:N78"/>
    <mergeCell ref="G71:G78"/>
    <mergeCell ref="F71:F78"/>
    <mergeCell ref="L64:L65"/>
    <mergeCell ref="M64:M65"/>
    <mergeCell ref="N64:N65"/>
    <mergeCell ref="B64:B65"/>
    <mergeCell ref="E64:E65"/>
  </mergeCells>
  <pageMargins left="0.7" right="0.7" top="0.75" bottom="0.75" header="0.3" footer="0.3"/>
  <pageSetup paperSize="9" scale="4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77"/>
  <sheetViews>
    <sheetView showGridLines="0" rightToLeft="1" zoomScale="40" zoomScaleNormal="40" zoomScaleSheetLayoutView="55" workbookViewId="0">
      <selection activeCell="C4" sqref="C4"/>
    </sheetView>
  </sheetViews>
  <sheetFormatPr defaultRowHeight="15" x14ac:dyDescent="0.25"/>
  <cols>
    <col min="1" max="1" width="30.85546875" bestFit="1" customWidth="1"/>
    <col min="2" max="2" width="42.5703125" bestFit="1" customWidth="1"/>
    <col min="3" max="3" width="36.140625" bestFit="1" customWidth="1"/>
    <col min="4" max="4" width="40" customWidth="1"/>
    <col min="5" max="5" width="30.140625" bestFit="1" customWidth="1"/>
    <col min="6" max="6" width="40.85546875" bestFit="1" customWidth="1"/>
    <col min="7" max="7" width="50.5703125" bestFit="1" customWidth="1"/>
    <col min="8" max="8" width="28.42578125" bestFit="1" customWidth="1"/>
    <col min="9" max="15" width="15.5703125" customWidth="1"/>
    <col min="16" max="16" width="21.7109375" bestFit="1" customWidth="1"/>
    <col min="17" max="17" width="20.42578125" bestFit="1" customWidth="1"/>
    <col min="18" max="18" width="21.140625" customWidth="1"/>
    <col min="19" max="19" width="15.5703125" customWidth="1"/>
    <col min="20" max="20" width="20.5703125" customWidth="1"/>
    <col min="21" max="25" width="25.5703125" customWidth="1"/>
    <col min="26" max="26" width="12.7109375" bestFit="1" customWidth="1"/>
    <col min="27" max="27" width="27.5703125" bestFit="1" customWidth="1"/>
  </cols>
  <sheetData>
    <row r="1" spans="1:9" ht="80.099999999999994" customHeight="1" thickBot="1" x14ac:dyDescent="0.45">
      <c r="A1" s="80" t="s">
        <v>176</v>
      </c>
      <c r="B1" s="74"/>
      <c r="C1" s="74"/>
      <c r="D1" s="74"/>
      <c r="E1" s="74"/>
    </row>
    <row r="2" spans="1:9" ht="80.099999999999994" customHeight="1" thickBot="1" x14ac:dyDescent="0.45">
      <c r="A2" s="74"/>
      <c r="B2" s="75" t="s">
        <v>175</v>
      </c>
      <c r="C2" s="79"/>
      <c r="D2" s="74"/>
      <c r="E2" s="74"/>
    </row>
    <row r="3" spans="1:9" ht="80.099999999999994" customHeight="1" thickBot="1" x14ac:dyDescent="0.45">
      <c r="A3" s="74"/>
      <c r="B3" s="79"/>
      <c r="C3" s="78" t="s">
        <v>174</v>
      </c>
      <c r="E3" s="74"/>
    </row>
    <row r="4" spans="1:9" ht="80.099999999999994" customHeight="1" thickBot="1" x14ac:dyDescent="0.45">
      <c r="A4" s="74"/>
      <c r="B4" s="77"/>
      <c r="C4" s="76" t="s">
        <v>173</v>
      </c>
      <c r="D4" s="74"/>
    </row>
    <row r="5" spans="1:9" ht="80.099999999999994" customHeight="1" thickBot="1" x14ac:dyDescent="0.45">
      <c r="A5" s="74"/>
      <c r="B5" s="75" t="s">
        <v>172</v>
      </c>
      <c r="C5" s="74"/>
      <c r="D5" s="73"/>
    </row>
    <row r="6" spans="1:9" ht="80.099999999999994" customHeight="1" thickBot="1" x14ac:dyDescent="0.45">
      <c r="C6" s="72" t="s">
        <v>171</v>
      </c>
      <c r="I6" s="67"/>
    </row>
    <row r="7" spans="1:9" ht="80.099999999999994" customHeight="1" thickBot="1" x14ac:dyDescent="0.45">
      <c r="D7" s="71" t="s">
        <v>170</v>
      </c>
      <c r="E7" s="70"/>
      <c r="F7" s="70"/>
      <c r="I7" s="67"/>
    </row>
    <row r="8" spans="1:9" ht="80.099999999999994" customHeight="1" thickBot="1" x14ac:dyDescent="0.45">
      <c r="D8" s="70"/>
      <c r="E8" s="68" t="s">
        <v>169</v>
      </c>
      <c r="F8" s="70"/>
      <c r="I8" s="67"/>
    </row>
    <row r="9" spans="1:9" ht="80.099999999999994" customHeight="1" thickBot="1" x14ac:dyDescent="0.45">
      <c r="D9" s="70"/>
      <c r="F9" s="66" t="s">
        <v>168</v>
      </c>
      <c r="I9" s="67"/>
    </row>
    <row r="10" spans="1:9" ht="80.099999999999994" customHeight="1" thickBot="1" x14ac:dyDescent="0.45">
      <c r="D10" s="69"/>
      <c r="E10" s="68" t="s">
        <v>167</v>
      </c>
      <c r="I10" s="67"/>
    </row>
    <row r="11" spans="1:9" ht="80.099999999999994" customHeight="1" thickBot="1" x14ac:dyDescent="0.45">
      <c r="F11" s="66" t="s">
        <v>166</v>
      </c>
    </row>
    <row r="12" spans="1:9" ht="80.099999999999994" customHeight="1" thickBot="1" x14ac:dyDescent="0.45">
      <c r="F12" s="66" t="s">
        <v>165</v>
      </c>
    </row>
    <row r="13" spans="1:9" ht="80.099999999999994" customHeight="1" thickBot="1" x14ac:dyDescent="0.55000000000000004">
      <c r="F13" s="66" t="s">
        <v>236</v>
      </c>
      <c r="G13" s="111" t="s">
        <v>218</v>
      </c>
    </row>
    <row r="14" spans="1:9" ht="80.099999999999994" customHeight="1" x14ac:dyDescent="0.25"/>
    <row r="15" spans="1:9" ht="80.099999999999994" customHeight="1" x14ac:dyDescent="0.25"/>
    <row r="16" spans="1:9" ht="80.099999999999994" customHeight="1" x14ac:dyDescent="0.25"/>
    <row r="17" spans="6:6" ht="80.099999999999994" customHeight="1" x14ac:dyDescent="0.25"/>
    <row r="18" spans="6:6" ht="80.099999999999994" customHeight="1" x14ac:dyDescent="0.25"/>
    <row r="32" spans="6:6" x14ac:dyDescent="0.25">
      <c r="F32" s="48"/>
    </row>
    <row r="33" spans="1:27" ht="30.75" customHeight="1" x14ac:dyDescent="0.25">
      <c r="B33" s="48"/>
      <c r="F33" s="48"/>
      <c r="G33" s="51"/>
      <c r="H33" s="64"/>
      <c r="I33" s="64"/>
      <c r="J33" s="64"/>
      <c r="K33" s="64"/>
      <c r="L33" s="64"/>
      <c r="M33" s="64"/>
      <c r="N33" s="64"/>
      <c r="O33" s="64"/>
      <c r="P33" s="64"/>
      <c r="Q33" s="64"/>
      <c r="R33" s="65"/>
      <c r="S33" s="65"/>
      <c r="U33" s="48"/>
    </row>
    <row r="34" spans="1:27" ht="30.75" customHeight="1" x14ac:dyDescent="0.25">
      <c r="B34" s="48"/>
      <c r="F34" s="62"/>
      <c r="G34" s="51"/>
      <c r="H34" s="64"/>
      <c r="I34" s="64"/>
      <c r="J34" s="64"/>
      <c r="K34" s="64"/>
      <c r="L34" s="64"/>
      <c r="M34" s="64"/>
      <c r="N34" s="64"/>
      <c r="O34" s="64"/>
      <c r="P34" s="64"/>
      <c r="Q34" s="64"/>
      <c r="R34" s="64"/>
      <c r="S34" s="64"/>
      <c r="U34" s="51"/>
      <c r="V34" s="64"/>
      <c r="W34" s="64"/>
      <c r="X34" s="64"/>
      <c r="Y34" s="64"/>
      <c r="Z34" s="64"/>
    </row>
    <row r="35" spans="1:27" ht="30.75" customHeight="1" x14ac:dyDescent="0.25">
      <c r="B35" s="48"/>
      <c r="F35" s="62"/>
      <c r="G35" s="48"/>
      <c r="H35" s="63"/>
      <c r="I35" s="63"/>
      <c r="J35" s="63"/>
      <c r="K35" s="63"/>
      <c r="L35" s="63"/>
      <c r="M35" s="63"/>
      <c r="N35" s="63"/>
      <c r="O35" s="63"/>
      <c r="P35" s="63"/>
      <c r="Q35" s="63"/>
      <c r="U35" s="62"/>
    </row>
    <row r="36" spans="1:27" ht="30.75" customHeight="1" x14ac:dyDescent="0.25">
      <c r="B36" s="48"/>
      <c r="G36" s="60"/>
      <c r="H36" s="60"/>
      <c r="I36" s="60"/>
      <c r="J36" s="60"/>
      <c r="K36" s="60"/>
      <c r="L36" s="60"/>
      <c r="M36" s="60"/>
      <c r="N36" s="60"/>
      <c r="O36" s="60"/>
      <c r="P36" s="60"/>
      <c r="Q36" s="60"/>
      <c r="S36" s="62"/>
      <c r="T36" s="61"/>
      <c r="U36" s="48"/>
    </row>
    <row r="37" spans="1:27" ht="30.75" customHeight="1" x14ac:dyDescent="0.25">
      <c r="A37" s="47"/>
      <c r="B37" s="48"/>
      <c r="F37" s="48"/>
      <c r="G37" s="48"/>
      <c r="H37" s="47"/>
      <c r="I37" s="47"/>
      <c r="J37" s="47"/>
      <c r="K37" s="47"/>
      <c r="L37" s="47"/>
      <c r="M37" s="47"/>
      <c r="N37" s="47"/>
      <c r="O37" s="47"/>
      <c r="P37" s="47"/>
      <c r="Q37" s="47"/>
      <c r="R37" s="47"/>
      <c r="S37" s="47"/>
      <c r="T37" s="49"/>
      <c r="U37" s="57"/>
      <c r="V37" s="47"/>
    </row>
    <row r="38" spans="1:27" x14ac:dyDescent="0.25">
      <c r="A38" s="47"/>
      <c r="B38" s="48"/>
      <c r="C38" s="48"/>
      <c r="D38" s="48"/>
      <c r="E38" s="48"/>
      <c r="F38" s="48"/>
      <c r="G38" s="60"/>
      <c r="H38" s="56"/>
      <c r="I38" s="56"/>
      <c r="J38" s="56"/>
      <c r="K38" s="56"/>
      <c r="L38" s="56"/>
      <c r="M38" s="56"/>
      <c r="N38" s="56"/>
      <c r="O38" s="56"/>
      <c r="P38" s="56"/>
      <c r="Q38" s="56"/>
      <c r="R38" s="47"/>
      <c r="S38" s="47"/>
      <c r="T38" s="58"/>
      <c r="U38" s="47"/>
      <c r="V38" s="47"/>
    </row>
    <row r="39" spans="1:27" x14ac:dyDescent="0.25">
      <c r="A39" s="47"/>
      <c r="B39" s="48"/>
      <c r="C39" s="48"/>
      <c r="D39" s="48"/>
      <c r="E39" s="48"/>
      <c r="F39" s="48"/>
      <c r="G39" s="60"/>
      <c r="H39" s="56"/>
      <c r="I39" s="56"/>
      <c r="J39" s="56"/>
      <c r="K39" s="56"/>
      <c r="L39" s="56"/>
      <c r="M39" s="56"/>
      <c r="N39" s="56"/>
      <c r="O39" s="56"/>
      <c r="P39" s="56"/>
      <c r="Q39" s="56"/>
      <c r="R39" s="47"/>
      <c r="S39" s="47"/>
      <c r="T39" s="58"/>
      <c r="U39" s="47"/>
      <c r="V39" s="47"/>
    </row>
    <row r="40" spans="1:27" x14ac:dyDescent="0.25">
      <c r="A40" s="47"/>
      <c r="B40" s="48"/>
      <c r="C40" s="48"/>
      <c r="D40" s="48"/>
      <c r="E40" s="48"/>
      <c r="F40" s="48"/>
      <c r="G40" s="48"/>
      <c r="H40" s="47"/>
      <c r="I40" s="47"/>
      <c r="J40" s="47"/>
      <c r="K40" s="47"/>
      <c r="L40" s="47"/>
      <c r="M40" s="47"/>
      <c r="N40" s="47"/>
      <c r="O40" s="47"/>
      <c r="P40" s="47"/>
      <c r="Q40" s="47"/>
      <c r="R40" s="47"/>
      <c r="S40" s="47"/>
      <c r="T40" s="56"/>
      <c r="U40" s="57"/>
      <c r="V40" s="47"/>
    </row>
    <row r="41" spans="1:27" x14ac:dyDescent="0.25">
      <c r="A41" s="47"/>
      <c r="B41" s="48"/>
      <c r="C41" s="48"/>
      <c r="D41" s="48"/>
      <c r="E41" s="48"/>
      <c r="F41" s="48"/>
      <c r="G41" s="60"/>
      <c r="H41" s="56"/>
      <c r="I41" s="56"/>
      <c r="J41" s="56"/>
      <c r="K41" s="56"/>
      <c r="L41" s="56"/>
      <c r="M41" s="56"/>
      <c r="N41" s="56"/>
      <c r="O41" s="56"/>
      <c r="P41" s="56"/>
      <c r="Q41" s="56"/>
      <c r="R41" s="47"/>
      <c r="S41" s="47"/>
      <c r="T41" s="58"/>
      <c r="U41" s="47"/>
      <c r="V41" s="47"/>
    </row>
    <row r="42" spans="1:27" x14ac:dyDescent="0.25">
      <c r="A42" s="47"/>
      <c r="B42" s="48"/>
      <c r="C42" s="48"/>
      <c r="D42" s="48"/>
      <c r="E42" s="48"/>
      <c r="F42" s="48"/>
      <c r="G42" s="60"/>
      <c r="H42" s="56"/>
      <c r="I42" s="56"/>
      <c r="J42" s="56"/>
      <c r="K42" s="56"/>
      <c r="L42" s="56"/>
      <c r="M42" s="56"/>
      <c r="N42" s="56"/>
      <c r="O42" s="56"/>
      <c r="P42" s="56"/>
      <c r="Q42" s="56"/>
      <c r="R42" s="47"/>
      <c r="S42" s="47"/>
      <c r="T42" s="58"/>
      <c r="U42" s="47"/>
      <c r="V42" s="47"/>
    </row>
    <row r="43" spans="1:27" x14ac:dyDescent="0.25">
      <c r="A43" s="47"/>
      <c r="B43" s="48"/>
      <c r="C43" s="48"/>
      <c r="D43" s="48"/>
      <c r="E43" s="48"/>
      <c r="F43" s="48"/>
      <c r="G43" s="48"/>
      <c r="H43" s="47"/>
      <c r="I43" s="47"/>
      <c r="J43" s="47"/>
      <c r="K43" s="47"/>
      <c r="L43" s="47"/>
      <c r="M43" s="47"/>
      <c r="N43" s="47"/>
      <c r="O43" s="47"/>
      <c r="P43" s="47"/>
      <c r="Q43" s="47"/>
      <c r="R43" s="47"/>
      <c r="S43" s="47"/>
      <c r="T43" s="56"/>
      <c r="U43" s="57"/>
      <c r="V43" s="47"/>
    </row>
    <row r="44" spans="1:27" x14ac:dyDescent="0.25">
      <c r="A44" s="47"/>
      <c r="B44" s="48"/>
      <c r="C44" s="48"/>
      <c r="D44" s="48"/>
      <c r="E44" s="48"/>
      <c r="F44" s="48"/>
      <c r="G44" s="48"/>
      <c r="H44" s="47"/>
      <c r="I44" s="47"/>
      <c r="J44" s="47"/>
      <c r="K44" s="47"/>
      <c r="L44" s="47"/>
      <c r="M44" s="47"/>
      <c r="N44" s="47"/>
      <c r="O44" s="47"/>
      <c r="P44" s="47"/>
      <c r="Q44" s="47"/>
      <c r="R44" s="47"/>
      <c r="S44" s="47"/>
      <c r="T44" s="58"/>
      <c r="U44" s="47"/>
      <c r="V44" s="47"/>
    </row>
    <row r="45" spans="1:27" x14ac:dyDescent="0.25">
      <c r="A45" s="47"/>
      <c r="B45" s="48"/>
      <c r="C45" s="48"/>
      <c r="D45" s="48"/>
      <c r="E45" s="48"/>
      <c r="F45" s="48"/>
      <c r="G45" s="48"/>
      <c r="H45" s="47"/>
      <c r="I45" s="47"/>
      <c r="J45" s="47"/>
      <c r="K45" s="47"/>
      <c r="L45" s="47"/>
      <c r="M45" s="47"/>
      <c r="N45" s="47"/>
      <c r="O45" s="47"/>
      <c r="P45" s="47"/>
      <c r="Q45" s="47"/>
      <c r="R45" s="47"/>
      <c r="S45" s="47"/>
      <c r="T45" s="58"/>
      <c r="U45" s="47"/>
      <c r="V45" s="47"/>
    </row>
    <row r="46" spans="1:27" x14ac:dyDescent="0.25">
      <c r="A46" s="47"/>
      <c r="B46" s="48"/>
      <c r="C46" s="48"/>
      <c r="D46" s="48"/>
      <c r="E46" s="48"/>
      <c r="F46" s="48"/>
      <c r="G46" s="48"/>
      <c r="H46" s="47"/>
      <c r="I46" s="47"/>
      <c r="J46" s="47"/>
      <c r="K46" s="47"/>
      <c r="L46" s="47"/>
      <c r="M46" s="47"/>
      <c r="N46" s="47"/>
      <c r="O46" s="47"/>
      <c r="P46" s="47"/>
      <c r="Q46" s="47"/>
      <c r="R46" s="47"/>
      <c r="S46" s="47"/>
      <c r="T46" s="56"/>
      <c r="U46" s="57"/>
      <c r="V46" s="47"/>
    </row>
    <row r="47" spans="1:27" x14ac:dyDescent="0.25">
      <c r="A47" s="47"/>
      <c r="B47" s="48"/>
      <c r="C47" s="48"/>
      <c r="D47" s="48"/>
      <c r="E47" s="48"/>
      <c r="F47" s="48"/>
      <c r="G47" s="60"/>
      <c r="H47" s="56"/>
      <c r="I47" s="56"/>
      <c r="J47" s="56"/>
      <c r="K47" s="56"/>
      <c r="L47" s="56"/>
      <c r="M47" s="56"/>
      <c r="N47" s="56"/>
      <c r="O47" s="56"/>
      <c r="P47" s="56"/>
      <c r="Q47" s="56"/>
      <c r="R47" s="47"/>
      <c r="S47" s="47"/>
      <c r="T47" s="58"/>
      <c r="U47" s="47"/>
      <c r="V47" s="47"/>
      <c r="W47" s="47"/>
      <c r="X47" s="47"/>
      <c r="Y47" s="47"/>
      <c r="Z47" s="47"/>
      <c r="AA47" s="47"/>
    </row>
    <row r="48" spans="1:27" x14ac:dyDescent="0.25">
      <c r="A48" s="47"/>
      <c r="B48" s="48"/>
      <c r="C48" s="48"/>
      <c r="D48" s="48"/>
      <c r="E48" s="48"/>
      <c r="F48" s="48"/>
      <c r="G48" s="48"/>
      <c r="H48" s="47"/>
      <c r="I48" s="47"/>
      <c r="J48" s="47"/>
      <c r="K48" s="47"/>
      <c r="L48" s="47"/>
      <c r="M48" s="47"/>
      <c r="N48" s="47"/>
      <c r="O48" s="47"/>
      <c r="P48" s="47"/>
      <c r="Q48" s="47"/>
      <c r="R48" s="47"/>
      <c r="S48" s="49"/>
      <c r="T48" s="49"/>
      <c r="U48" s="49"/>
      <c r="V48" s="47"/>
      <c r="W48" s="57"/>
      <c r="X48" s="47"/>
      <c r="Y48" s="47"/>
      <c r="Z48" s="47"/>
      <c r="AA48" s="47"/>
    </row>
    <row r="49" spans="1:29" x14ac:dyDescent="0.25">
      <c r="A49" s="47"/>
      <c r="B49" s="48"/>
      <c r="C49" s="48"/>
      <c r="D49" s="48"/>
      <c r="E49" s="48"/>
      <c r="F49" s="48"/>
      <c r="G49" s="48"/>
      <c r="H49" s="47"/>
      <c r="I49" s="47"/>
      <c r="J49" s="47"/>
      <c r="K49" s="47"/>
      <c r="L49" s="47"/>
      <c r="M49" s="47"/>
      <c r="N49" s="47"/>
      <c r="O49" s="47"/>
      <c r="P49" s="47"/>
      <c r="Q49" s="47"/>
      <c r="R49" s="47"/>
      <c r="S49" s="47"/>
      <c r="T49" s="58"/>
      <c r="U49" s="47"/>
      <c r="V49" s="47"/>
      <c r="W49" s="47"/>
      <c r="X49" s="47"/>
      <c r="Y49" s="47"/>
      <c r="Z49" s="47"/>
      <c r="AA49" s="47"/>
    </row>
    <row r="50" spans="1:29" x14ac:dyDescent="0.25">
      <c r="A50" s="47"/>
      <c r="B50" s="48"/>
      <c r="C50" s="48"/>
      <c r="D50" s="48"/>
      <c r="E50" s="48"/>
      <c r="F50" s="48"/>
      <c r="G50" s="48"/>
      <c r="H50" s="47"/>
      <c r="I50" s="47"/>
      <c r="J50" s="47"/>
      <c r="K50" s="47"/>
      <c r="L50" s="47"/>
      <c r="M50" s="47"/>
      <c r="N50" s="47"/>
      <c r="O50" s="47"/>
      <c r="P50" s="47"/>
      <c r="Q50" s="47"/>
      <c r="R50" s="47"/>
      <c r="S50" s="47"/>
      <c r="T50" s="58"/>
      <c r="U50" s="47"/>
      <c r="V50" s="47"/>
      <c r="W50" s="47"/>
      <c r="X50" s="47"/>
      <c r="Y50" s="47"/>
      <c r="Z50" s="47"/>
      <c r="AA50" s="47"/>
    </row>
    <row r="51" spans="1:29" x14ac:dyDescent="0.25">
      <c r="A51" s="47"/>
      <c r="B51" s="48"/>
      <c r="C51" s="48"/>
      <c r="D51" s="48"/>
      <c r="E51" s="48"/>
      <c r="F51" s="48"/>
      <c r="G51" s="48"/>
      <c r="H51" s="47"/>
      <c r="I51" s="47"/>
      <c r="J51" s="47"/>
      <c r="K51" s="47"/>
      <c r="L51" s="47"/>
      <c r="M51" s="47"/>
      <c r="N51" s="47"/>
      <c r="O51" s="47"/>
      <c r="P51" s="47"/>
      <c r="Q51" s="47"/>
      <c r="R51" s="47"/>
      <c r="S51" s="47"/>
      <c r="T51" s="56"/>
      <c r="U51" s="57"/>
      <c r="V51" s="47"/>
      <c r="W51" s="47"/>
      <c r="X51" s="47"/>
      <c r="Y51" s="47"/>
      <c r="Z51" s="47"/>
      <c r="AA51" s="47"/>
    </row>
    <row r="52" spans="1:29" x14ac:dyDescent="0.25">
      <c r="A52" s="47"/>
      <c r="B52" s="48"/>
      <c r="C52" s="48"/>
      <c r="D52" s="48"/>
      <c r="E52" s="48"/>
      <c r="F52" s="48"/>
      <c r="G52" s="59"/>
      <c r="H52" s="58"/>
      <c r="I52" s="58"/>
      <c r="J52" s="58"/>
      <c r="K52" s="58"/>
      <c r="L52" s="58"/>
      <c r="M52" s="58"/>
      <c r="N52" s="58"/>
      <c r="O52" s="58"/>
      <c r="P52" s="58"/>
      <c r="Q52" s="58"/>
      <c r="R52" s="47"/>
      <c r="S52" s="47"/>
      <c r="T52" s="58"/>
      <c r="U52" s="47"/>
      <c r="V52" s="47"/>
      <c r="W52" s="47"/>
      <c r="X52" s="47"/>
      <c r="Y52" s="47"/>
      <c r="Z52" s="47"/>
      <c r="AA52" s="47"/>
    </row>
    <row r="53" spans="1:29" x14ac:dyDescent="0.25">
      <c r="A53" s="47"/>
      <c r="B53" s="48"/>
      <c r="C53" s="48"/>
      <c r="D53" s="48"/>
      <c r="E53" s="48"/>
      <c r="F53" s="48"/>
      <c r="G53" s="48"/>
      <c r="H53" s="47"/>
      <c r="I53" s="47"/>
      <c r="J53" s="47"/>
      <c r="K53" s="47"/>
      <c r="L53" s="47"/>
      <c r="M53" s="47"/>
      <c r="N53" s="47"/>
      <c r="O53" s="47"/>
      <c r="P53" s="47"/>
      <c r="Q53" s="47"/>
      <c r="R53" s="47"/>
      <c r="S53" s="47"/>
      <c r="T53" s="58"/>
      <c r="U53" s="47"/>
      <c r="V53" s="47"/>
      <c r="W53" s="47"/>
      <c r="X53" s="47"/>
      <c r="Y53" s="47"/>
      <c r="Z53" s="47"/>
      <c r="AA53" s="47"/>
    </row>
    <row r="54" spans="1:29" x14ac:dyDescent="0.25">
      <c r="A54" s="47"/>
      <c r="B54" s="48"/>
      <c r="C54" s="48"/>
      <c r="D54" s="48"/>
      <c r="E54" s="48"/>
      <c r="F54" s="52"/>
      <c r="G54" s="48"/>
      <c r="H54" s="47"/>
      <c r="I54" s="47"/>
      <c r="J54" s="47"/>
      <c r="K54" s="47"/>
      <c r="L54" s="47"/>
      <c r="M54" s="47"/>
      <c r="N54" s="47"/>
      <c r="O54" s="47"/>
      <c r="P54" s="47"/>
      <c r="Q54" s="47"/>
      <c r="R54" s="47"/>
      <c r="S54" s="47"/>
      <c r="T54" s="56"/>
      <c r="U54" s="57"/>
      <c r="V54" s="47"/>
      <c r="W54" s="47"/>
      <c r="X54" s="47"/>
      <c r="Y54" s="47"/>
      <c r="Z54" s="47"/>
      <c r="AA54" s="47"/>
    </row>
    <row r="55" spans="1:29" x14ac:dyDescent="0.25">
      <c r="A55" s="47"/>
      <c r="B55" s="48"/>
      <c r="C55" s="48"/>
      <c r="D55" s="48"/>
      <c r="E55" s="48"/>
      <c r="F55" s="48"/>
      <c r="G55" s="48"/>
      <c r="H55" s="47"/>
      <c r="I55" s="47"/>
      <c r="J55" s="47"/>
      <c r="K55" s="47"/>
      <c r="L55" s="47"/>
      <c r="M55" s="47"/>
      <c r="N55" s="47"/>
      <c r="O55" s="47"/>
      <c r="P55" s="47"/>
      <c r="Q55" s="47"/>
      <c r="R55" s="56"/>
      <c r="S55" s="56"/>
      <c r="T55" s="56"/>
      <c r="U55" s="56"/>
      <c r="V55" s="56"/>
      <c r="W55" s="56"/>
      <c r="X55" s="56"/>
      <c r="Y55" s="56"/>
      <c r="Z55" s="47"/>
      <c r="AA55" s="47"/>
    </row>
    <row r="56" spans="1:29" x14ac:dyDescent="0.25">
      <c r="A56" s="47"/>
      <c r="B56" s="48"/>
      <c r="C56" s="48"/>
      <c r="D56" s="48"/>
      <c r="E56" s="48"/>
      <c r="F56" s="100"/>
      <c r="G56" s="48"/>
      <c r="H56" s="47"/>
      <c r="I56" s="47"/>
      <c r="J56" s="47"/>
      <c r="K56" s="47"/>
      <c r="L56" s="47"/>
      <c r="M56" s="47"/>
      <c r="N56" s="47"/>
      <c r="O56" s="47"/>
      <c r="P56" s="47"/>
      <c r="Q56" s="47"/>
      <c r="R56" s="47"/>
      <c r="S56" s="47"/>
      <c r="T56" s="47"/>
      <c r="U56" s="47"/>
      <c r="V56" s="47"/>
      <c r="W56" s="47"/>
      <c r="X56" s="47"/>
      <c r="Y56" s="47"/>
      <c r="Z56" s="47"/>
      <c r="AA56" s="47"/>
    </row>
    <row r="57" spans="1:29" x14ac:dyDescent="0.25">
      <c r="A57" s="55"/>
      <c r="B57" s="100"/>
      <c r="C57" s="100"/>
      <c r="D57" s="100"/>
      <c r="E57" s="100"/>
      <c r="F57" s="48"/>
      <c r="G57" s="100"/>
      <c r="H57" s="198"/>
      <c r="I57" s="198"/>
      <c r="J57" s="198"/>
      <c r="K57" s="198"/>
      <c r="L57" s="198"/>
      <c r="M57" s="198"/>
      <c r="N57" s="198"/>
      <c r="O57" s="198"/>
      <c r="P57" s="198"/>
      <c r="Q57" s="198"/>
      <c r="R57" s="198"/>
      <c r="S57" s="198"/>
      <c r="T57" s="198"/>
      <c r="U57" s="198"/>
      <c r="V57" s="198"/>
      <c r="W57" s="54"/>
      <c r="X57" s="54"/>
      <c r="Y57" s="54"/>
      <c r="Z57" s="54"/>
      <c r="AA57" s="47"/>
      <c r="AB57" s="53"/>
      <c r="AC57" s="53"/>
    </row>
    <row r="58" spans="1:29" x14ac:dyDescent="0.25">
      <c r="A58" s="47"/>
      <c r="B58" s="48"/>
      <c r="C58" s="48"/>
      <c r="D58" s="48"/>
      <c r="E58" s="48"/>
      <c r="F58" s="48"/>
      <c r="G58" s="51"/>
      <c r="H58" s="50"/>
      <c r="I58" s="50"/>
      <c r="J58" s="50"/>
      <c r="K58" s="50"/>
      <c r="L58" s="50"/>
      <c r="M58" s="50"/>
      <c r="N58" s="50"/>
      <c r="O58" s="50"/>
      <c r="P58" s="50"/>
      <c r="Q58" s="50"/>
      <c r="R58" s="47"/>
      <c r="S58" s="47"/>
      <c r="T58" s="47"/>
      <c r="U58" s="47"/>
      <c r="V58" s="47"/>
      <c r="W58" s="47"/>
      <c r="X58" s="47"/>
      <c r="Y58" s="47"/>
      <c r="Z58" s="47"/>
      <c r="AA58" s="47"/>
    </row>
    <row r="59" spans="1:29" x14ac:dyDescent="0.25">
      <c r="A59" s="47"/>
      <c r="B59" s="48"/>
      <c r="C59" s="48"/>
      <c r="D59" s="48"/>
      <c r="E59" s="48"/>
      <c r="F59" s="52"/>
      <c r="G59" s="51"/>
      <c r="H59" s="50"/>
      <c r="I59" s="50"/>
      <c r="J59" s="50"/>
      <c r="K59" s="50"/>
      <c r="L59" s="50"/>
      <c r="M59" s="50"/>
      <c r="N59" s="50"/>
      <c r="O59" s="50"/>
      <c r="P59" s="50"/>
      <c r="Q59" s="50"/>
      <c r="R59" s="47"/>
      <c r="S59" s="47"/>
      <c r="T59" s="47"/>
      <c r="U59" s="47"/>
      <c r="V59" s="47"/>
      <c r="W59" s="47"/>
      <c r="X59" s="47"/>
      <c r="Y59" s="47"/>
      <c r="Z59" s="47"/>
      <c r="AA59" s="47"/>
    </row>
    <row r="60" spans="1:29" x14ac:dyDescent="0.25">
      <c r="A60" s="49"/>
      <c r="B60" s="52"/>
      <c r="C60" s="52"/>
      <c r="D60" s="52"/>
      <c r="E60" s="52"/>
      <c r="F60" s="48"/>
      <c r="G60" s="52"/>
      <c r="H60" s="49"/>
      <c r="I60" s="49"/>
      <c r="J60" s="49"/>
      <c r="K60" s="49"/>
      <c r="L60" s="49"/>
      <c r="M60" s="49"/>
      <c r="N60" s="49"/>
      <c r="O60" s="49"/>
      <c r="P60" s="199"/>
      <c r="Q60" s="199"/>
      <c r="R60" s="199"/>
      <c r="S60" s="199"/>
      <c r="T60" s="199"/>
      <c r="U60" s="199"/>
      <c r="V60" s="199"/>
      <c r="W60" s="49"/>
      <c r="X60" s="49"/>
      <c r="Y60" s="49"/>
      <c r="Z60" s="49"/>
      <c r="AA60" s="47"/>
    </row>
    <row r="61" spans="1:29" x14ac:dyDescent="0.25">
      <c r="A61" s="47"/>
      <c r="B61" s="48"/>
      <c r="C61" s="48"/>
      <c r="D61" s="48"/>
      <c r="E61" s="48"/>
      <c r="F61" s="48"/>
      <c r="G61" s="51"/>
      <c r="H61" s="50"/>
      <c r="I61" s="50"/>
      <c r="J61" s="50"/>
      <c r="K61" s="50"/>
      <c r="L61" s="50"/>
      <c r="M61" s="50"/>
      <c r="N61" s="50"/>
      <c r="O61" s="50"/>
      <c r="P61" s="50"/>
      <c r="Q61" s="50"/>
      <c r="R61" s="47"/>
      <c r="S61" s="47"/>
      <c r="T61" s="47"/>
      <c r="U61" s="47"/>
      <c r="V61" s="47"/>
      <c r="W61" s="47"/>
      <c r="X61" s="47"/>
      <c r="Y61" s="47"/>
      <c r="Z61" s="47"/>
      <c r="AA61" s="47"/>
    </row>
    <row r="62" spans="1:29" x14ac:dyDescent="0.25">
      <c r="A62" s="47"/>
      <c r="B62" s="48"/>
      <c r="C62" s="48"/>
      <c r="D62" s="48"/>
      <c r="E62" s="48"/>
      <c r="F62" s="48"/>
      <c r="G62" s="51"/>
      <c r="H62" s="50"/>
      <c r="I62" s="50"/>
      <c r="J62" s="50"/>
      <c r="K62" s="50"/>
      <c r="L62" s="50"/>
      <c r="M62" s="50"/>
      <c r="N62" s="50"/>
      <c r="O62" s="50"/>
      <c r="P62" s="47"/>
      <c r="Q62" s="47"/>
      <c r="R62" s="47"/>
      <c r="S62" s="47"/>
      <c r="T62" s="47"/>
      <c r="U62" s="47"/>
      <c r="V62" s="47"/>
      <c r="W62" s="47"/>
      <c r="X62" s="47"/>
      <c r="Y62" s="47"/>
      <c r="Z62" s="47"/>
      <c r="AA62" s="47"/>
    </row>
    <row r="63" spans="1:29" x14ac:dyDescent="0.25">
      <c r="A63" s="47"/>
      <c r="B63" s="48"/>
      <c r="C63" s="48"/>
      <c r="D63" s="48"/>
      <c r="E63" s="48"/>
      <c r="F63" s="48"/>
      <c r="G63" s="51"/>
      <c r="H63" s="50"/>
      <c r="I63" s="50"/>
      <c r="J63" s="50"/>
      <c r="K63" s="50"/>
      <c r="L63" s="50"/>
      <c r="M63" s="50"/>
      <c r="N63" s="50"/>
      <c r="O63" s="50"/>
      <c r="P63" s="49"/>
      <c r="Q63" s="49"/>
      <c r="R63" s="49"/>
      <c r="S63" s="49"/>
      <c r="T63" s="49"/>
      <c r="U63" s="49"/>
      <c r="V63" s="49"/>
      <c r="W63" s="49"/>
      <c r="X63" s="47"/>
      <c r="Y63" s="47"/>
      <c r="Z63" s="47"/>
      <c r="AA63" s="47"/>
    </row>
    <row r="64" spans="1:29" x14ac:dyDescent="0.25">
      <c r="A64" s="47"/>
      <c r="B64" s="48"/>
      <c r="C64" s="48"/>
      <c r="D64" s="48"/>
      <c r="E64" s="48"/>
      <c r="F64" s="48"/>
      <c r="G64" s="48"/>
      <c r="H64" s="47"/>
      <c r="I64" s="47"/>
      <c r="J64" s="47"/>
      <c r="K64" s="47"/>
      <c r="L64" s="47"/>
      <c r="M64" s="47"/>
      <c r="N64" s="47"/>
      <c r="O64" s="47"/>
      <c r="P64" s="47"/>
      <c r="Q64" s="47"/>
      <c r="R64" s="47"/>
      <c r="S64" s="47"/>
      <c r="T64" s="47"/>
      <c r="U64" s="47"/>
      <c r="V64" s="47"/>
      <c r="W64" s="47"/>
      <c r="X64" s="47"/>
      <c r="Y64" s="47"/>
      <c r="Z64" s="47"/>
      <c r="AA64" s="47"/>
    </row>
    <row r="65" spans="1:27" x14ac:dyDescent="0.25">
      <c r="A65" s="47"/>
      <c r="B65" s="48"/>
      <c r="C65" s="48"/>
      <c r="D65" s="48"/>
      <c r="E65" s="48"/>
      <c r="F65" s="48"/>
      <c r="G65" s="48"/>
      <c r="H65" s="47"/>
      <c r="I65" s="47"/>
      <c r="J65" s="47"/>
      <c r="K65" s="47"/>
      <c r="L65" s="47"/>
      <c r="M65" s="47"/>
      <c r="N65" s="47"/>
      <c r="O65" s="47"/>
      <c r="P65" s="47"/>
      <c r="Q65" s="47"/>
      <c r="R65" s="47"/>
      <c r="S65" s="47"/>
      <c r="T65" s="47"/>
      <c r="U65" s="47"/>
      <c r="V65" s="47"/>
      <c r="W65" s="47"/>
      <c r="X65" s="47"/>
      <c r="Y65" s="47"/>
      <c r="Z65" s="47"/>
      <c r="AA65" s="47"/>
    </row>
    <row r="66" spans="1:27" x14ac:dyDescent="0.25">
      <c r="A66" s="47"/>
      <c r="B66" s="48"/>
      <c r="C66" s="48"/>
      <c r="D66" s="48"/>
      <c r="E66" s="48"/>
      <c r="F66" s="48"/>
      <c r="G66" s="48"/>
      <c r="H66" s="47"/>
      <c r="I66" s="47"/>
      <c r="J66" s="47"/>
      <c r="K66" s="47"/>
      <c r="L66" s="47"/>
      <c r="M66" s="47"/>
      <c r="N66" s="47"/>
      <c r="O66" s="47"/>
      <c r="P66" s="47"/>
      <c r="Q66" s="47"/>
      <c r="R66" s="47"/>
      <c r="S66" s="47"/>
      <c r="T66" s="47"/>
      <c r="U66" s="47"/>
      <c r="V66" s="47"/>
      <c r="W66" s="47"/>
      <c r="X66" s="47"/>
      <c r="Y66" s="47"/>
      <c r="Z66" s="47"/>
      <c r="AA66" s="47"/>
    </row>
    <row r="67" spans="1:27" x14ac:dyDescent="0.25">
      <c r="A67" s="47"/>
      <c r="B67" s="48"/>
      <c r="C67" s="48"/>
      <c r="D67" s="48"/>
      <c r="E67" s="48"/>
      <c r="F67" s="47"/>
      <c r="G67" s="48"/>
      <c r="H67" s="47"/>
      <c r="I67" s="47"/>
      <c r="J67" s="47"/>
      <c r="K67" s="47"/>
      <c r="L67" s="47"/>
      <c r="M67" s="47"/>
      <c r="N67" s="47"/>
      <c r="O67" s="47"/>
      <c r="P67" s="47"/>
      <c r="Q67" s="47"/>
      <c r="R67" s="47"/>
      <c r="S67" s="47"/>
      <c r="T67" s="47"/>
      <c r="U67" s="47"/>
      <c r="V67" s="47"/>
    </row>
    <row r="68" spans="1:27" x14ac:dyDescent="0.25">
      <c r="A68" s="47"/>
      <c r="B68" s="47"/>
      <c r="C68" s="47"/>
      <c r="D68" s="47"/>
      <c r="E68" s="47"/>
      <c r="F68" s="47"/>
      <c r="G68" s="47"/>
      <c r="H68" s="47"/>
      <c r="I68" s="47"/>
      <c r="J68" s="47"/>
      <c r="K68" s="47"/>
      <c r="L68" s="47"/>
      <c r="M68" s="47"/>
      <c r="N68" s="47"/>
      <c r="O68" s="47"/>
      <c r="P68" s="47"/>
      <c r="Q68" s="47"/>
      <c r="R68" s="47"/>
      <c r="S68" s="47"/>
      <c r="T68" s="47"/>
      <c r="U68" s="47"/>
      <c r="V68" s="47"/>
    </row>
    <row r="69" spans="1:27" x14ac:dyDescent="0.25">
      <c r="A69" s="47"/>
      <c r="B69" s="47"/>
      <c r="C69" s="47"/>
      <c r="D69" s="47"/>
      <c r="E69" s="47"/>
      <c r="F69" s="47"/>
      <c r="G69" s="47"/>
      <c r="H69" s="47"/>
      <c r="I69" s="47"/>
      <c r="J69" s="47"/>
      <c r="K69" s="47"/>
      <c r="L69" s="47"/>
      <c r="M69" s="47"/>
      <c r="N69" s="47"/>
      <c r="O69" s="47"/>
      <c r="P69" s="47"/>
      <c r="Q69" s="47"/>
      <c r="R69" s="47"/>
      <c r="S69" s="47"/>
      <c r="T69" s="47"/>
      <c r="U69" s="47"/>
      <c r="V69" s="47"/>
    </row>
    <row r="70" spans="1:27" x14ac:dyDescent="0.25">
      <c r="A70" s="47"/>
      <c r="B70" s="47"/>
      <c r="C70" s="47"/>
      <c r="D70" s="47"/>
      <c r="E70" s="47"/>
      <c r="F70" s="47"/>
      <c r="G70" s="47"/>
      <c r="H70" s="47"/>
      <c r="I70" s="47"/>
      <c r="J70" s="47"/>
      <c r="K70" s="47"/>
      <c r="L70" s="47"/>
      <c r="M70" s="47"/>
      <c r="N70" s="47"/>
      <c r="O70" s="47"/>
      <c r="P70" s="47"/>
      <c r="Q70" s="47"/>
      <c r="R70" s="47"/>
      <c r="S70" s="47"/>
      <c r="T70" s="47"/>
      <c r="U70" s="47"/>
      <c r="V70" s="47"/>
    </row>
    <row r="71" spans="1:27" x14ac:dyDescent="0.25">
      <c r="A71" s="47"/>
      <c r="B71" s="47"/>
      <c r="C71" s="47"/>
      <c r="D71" s="47"/>
      <c r="E71" s="47"/>
      <c r="F71" s="47"/>
      <c r="G71" s="47"/>
      <c r="H71" s="47"/>
      <c r="I71" s="47"/>
      <c r="J71" s="47"/>
      <c r="K71" s="47"/>
      <c r="L71" s="47"/>
      <c r="M71" s="47"/>
      <c r="N71" s="47"/>
      <c r="O71" s="47"/>
      <c r="P71" s="47"/>
      <c r="Q71" s="47"/>
      <c r="R71" s="47"/>
      <c r="S71" s="47"/>
      <c r="T71" s="47"/>
      <c r="U71" s="47"/>
      <c r="V71" s="47"/>
    </row>
    <row r="72" spans="1:27" x14ac:dyDescent="0.25">
      <c r="A72" s="47"/>
      <c r="B72" s="47"/>
      <c r="C72" s="47"/>
      <c r="D72" s="47"/>
      <c r="E72" s="47"/>
      <c r="F72" s="47"/>
      <c r="G72" s="47"/>
      <c r="H72" s="47"/>
      <c r="I72" s="47"/>
      <c r="J72" s="47"/>
      <c r="K72" s="47"/>
      <c r="L72" s="47"/>
      <c r="M72" s="47"/>
      <c r="N72" s="47"/>
      <c r="O72" s="47"/>
      <c r="P72" s="47"/>
      <c r="Q72" s="47"/>
      <c r="R72" s="47"/>
      <c r="S72" s="47"/>
      <c r="T72" s="47"/>
      <c r="U72" s="47"/>
      <c r="V72" s="47"/>
    </row>
    <row r="73" spans="1:27" x14ac:dyDescent="0.25">
      <c r="A73" s="47"/>
      <c r="B73" s="47"/>
      <c r="C73" s="47"/>
      <c r="D73" s="47"/>
      <c r="E73" s="47"/>
      <c r="F73" s="47"/>
      <c r="G73" s="47"/>
      <c r="H73" s="47"/>
      <c r="I73" s="47"/>
      <c r="J73" s="47"/>
      <c r="K73" s="47"/>
      <c r="L73" s="47"/>
      <c r="M73" s="47"/>
      <c r="N73" s="47"/>
      <c r="O73" s="47"/>
      <c r="P73" s="47"/>
      <c r="Q73" s="47"/>
      <c r="R73" s="47"/>
      <c r="S73" s="47"/>
      <c r="T73" s="47"/>
      <c r="U73" s="47"/>
      <c r="V73" s="47"/>
    </row>
    <row r="74" spans="1:27" x14ac:dyDescent="0.25">
      <c r="A74" s="47"/>
      <c r="B74" s="47"/>
      <c r="C74" s="47"/>
      <c r="D74" s="47"/>
      <c r="E74" s="47"/>
      <c r="F74" s="47"/>
      <c r="G74" s="47"/>
      <c r="H74" s="47"/>
      <c r="I74" s="47"/>
      <c r="J74" s="47"/>
      <c r="K74" s="47"/>
      <c r="L74" s="47"/>
      <c r="M74" s="47"/>
      <c r="N74" s="47"/>
      <c r="O74" s="47"/>
      <c r="P74" s="47"/>
      <c r="Q74" s="47"/>
      <c r="R74" s="47"/>
      <c r="S74" s="47"/>
      <c r="T74" s="47"/>
      <c r="U74" s="47"/>
      <c r="V74" s="47"/>
    </row>
    <row r="75" spans="1:27" x14ac:dyDescent="0.25">
      <c r="A75" s="47"/>
      <c r="B75" s="47"/>
      <c r="C75" s="47"/>
      <c r="D75" s="47"/>
      <c r="E75" s="47"/>
      <c r="F75" s="47"/>
      <c r="G75" s="47"/>
      <c r="H75" s="47"/>
      <c r="I75" s="47"/>
      <c r="J75" s="47"/>
      <c r="K75" s="47"/>
      <c r="L75" s="47"/>
      <c r="M75" s="47"/>
      <c r="N75" s="47"/>
      <c r="O75" s="47"/>
      <c r="P75" s="47"/>
      <c r="Q75" s="47"/>
      <c r="R75" s="47"/>
      <c r="S75" s="47"/>
      <c r="T75" s="47"/>
      <c r="U75" s="47"/>
      <c r="V75" s="47"/>
    </row>
    <row r="76" spans="1:27" x14ac:dyDescent="0.25">
      <c r="A76" s="47"/>
      <c r="B76" s="47"/>
      <c r="C76" s="47"/>
      <c r="D76" s="47"/>
      <c r="E76" s="47"/>
      <c r="F76" s="47"/>
      <c r="G76" s="47"/>
      <c r="H76" s="47"/>
      <c r="I76" s="47"/>
      <c r="J76" s="47"/>
      <c r="K76" s="47"/>
      <c r="L76" s="47"/>
      <c r="M76" s="47"/>
      <c r="N76" s="47"/>
      <c r="O76" s="47"/>
      <c r="P76" s="47"/>
      <c r="Q76" s="47"/>
      <c r="R76" s="47"/>
      <c r="S76" s="47"/>
      <c r="T76" s="47"/>
      <c r="U76" s="47"/>
      <c r="V76" s="47"/>
    </row>
    <row r="77" spans="1:27" x14ac:dyDescent="0.25">
      <c r="A77" s="47"/>
      <c r="B77" s="47"/>
      <c r="C77" s="47"/>
      <c r="D77" s="47"/>
      <c r="E77" s="47"/>
      <c r="G77" s="47"/>
      <c r="H77" s="47"/>
      <c r="I77" s="47"/>
      <c r="J77" s="47"/>
      <c r="K77" s="47"/>
      <c r="L77" s="47"/>
      <c r="M77" s="47"/>
      <c r="N77" s="47"/>
      <c r="O77" s="47"/>
      <c r="P77" s="47"/>
      <c r="Q77" s="47"/>
      <c r="R77" s="47"/>
      <c r="S77" s="47"/>
      <c r="T77" s="47"/>
      <c r="U77" s="47"/>
      <c r="V77" s="47"/>
    </row>
  </sheetData>
  <mergeCells count="5">
    <mergeCell ref="H57:O57"/>
    <mergeCell ref="P57:V57"/>
    <mergeCell ref="P60:R60"/>
    <mergeCell ref="S60:T60"/>
    <mergeCell ref="U60:V60"/>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E8B424E90BBD44861081DA0CCFE7D5" ma:contentTypeVersion="2" ma:contentTypeDescription="Create a new document." ma:contentTypeScope="" ma:versionID="8f941c4e7b5b8f5c203037eaa0f5ac25">
  <xsd:schema xmlns:xsd="http://www.w3.org/2001/XMLSchema" xmlns:xs="http://www.w3.org/2001/XMLSchema" xmlns:p="http://schemas.microsoft.com/office/2006/metadata/properties" xmlns:ns2="02fa47f6-f564-47d9-8894-e42bb3bb1e53" targetNamespace="http://schemas.microsoft.com/office/2006/metadata/properties" ma:root="true" ma:fieldsID="0f84ade72c4fad85cf2d345999ac9109" ns2:_="">
    <xsd:import namespace="02fa47f6-f564-47d9-8894-e42bb3bb1e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fa47f6-f564-47d9-8894-e42bb3bb1e5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92091D-C1D5-4A3D-BE67-B56DCFECD4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fa47f6-f564-47d9-8894-e42bb3bb1e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4AE837-8116-4A30-8E52-8D143DA8232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37716C2-9E25-4A88-A4CB-65D4C5C9AF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ממשק היזון חוזר ראשוני</vt:lpstr>
      <vt:lpstr>היררכיה - היזון חוזר ראשוני</vt:lpstr>
    </vt:vector>
  </TitlesOfParts>
  <Company>MOF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ממשק היזון חוזר ראשוני – מעודכן</dc:title>
  <dc:creator>מיכל אוחיון</dc:creator>
  <cp:lastModifiedBy>Avraham Bar Turgeman</cp:lastModifiedBy>
  <dcterms:created xsi:type="dcterms:W3CDTF">2016-11-27T14:27:10Z</dcterms:created>
  <dcterms:modified xsi:type="dcterms:W3CDTF">2025-03-10T12:59:35Z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0x0101000AE8B424E90BBD44861081DA0CCFE7D5</vt:lpwstr>
  </property>
  <property fmtid="{D5CDD505-2E9C-101B-9397-08002B2CF9AE}" pid="3" name="MMDUnitsName">
    <vt:lpwstr/>
  </property>
  <property fmtid="{D5CDD505-2E9C-101B-9397-08002B2CF9AE}" pid="4" name="MMDResponsibleUnit">
    <vt:lpwstr/>
  </property>
  <property fmtid="{D5CDD505-2E9C-101B-9397-08002B2CF9AE}" pid="5" name="MMDServiceLang">
    <vt:lpwstr/>
  </property>
  <property fmtid="{D5CDD505-2E9C-101B-9397-08002B2CF9AE}" pid="6" name="MMDJobDescription">
    <vt:lpwstr/>
  </property>
  <property fmtid="{D5CDD505-2E9C-101B-9397-08002B2CF9AE}" pid="7" name="MMDKeywords">
    <vt:lpwstr/>
  </property>
  <property fmtid="{D5CDD505-2E9C-101B-9397-08002B2CF9AE}" pid="8" name="MMDStatus">
    <vt:lpwstr/>
  </property>
  <property fmtid="{D5CDD505-2E9C-101B-9397-08002B2CF9AE}" pid="9" name="MMDAudience">
    <vt:lpwstr/>
  </property>
  <property fmtid="{D5CDD505-2E9C-101B-9397-08002B2CF9AE}" pid="10" name="MMDLiveEvent">
    <vt:lpwstr/>
  </property>
  <property fmtid="{D5CDD505-2E9C-101B-9397-08002B2CF9AE}" pid="11" name="MMDSubjects">
    <vt:lpwstr/>
  </property>
  <property fmtid="{D5CDD505-2E9C-101B-9397-08002B2CF9AE}" pid="12" name="MMDTypes">
    <vt:lpwstr/>
  </property>
  <property fmtid="{D5CDD505-2E9C-101B-9397-08002B2CF9AE}" pid="13" name="MMDResponsibleOffice">
    <vt:lpwstr/>
  </property>
</Properties>
</file>